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f06696b7386627/Documents/occupationhub/"/>
    </mc:Choice>
  </mc:AlternateContent>
  <xr:revisionPtr revIDLastSave="3" documentId="11_C375378FDAFFA30E1BBAD2FD90E376315AEFAABA" xr6:coauthVersionLast="47" xr6:coauthVersionMax="47" xr10:uidLastSave="{F09B09D1-B6BB-47B0-A169-CF0EF8CA1EE4}"/>
  <bookViews>
    <workbookView xWindow="-108" yWindow="-108" windowWidth="23256" windowHeight="148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1449" i="1" l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<sst xmlns="http://schemas.openxmlformats.org/spreadsheetml/2006/main" count="8701" uniqueCount="6909">
  <si>
    <t>Ссылка на www.list-org.com</t>
  </si>
  <si>
    <t>Наименование</t>
  </si>
  <si>
    <t>Юридическое наименование</t>
  </si>
  <si>
    <t>Статус</t>
  </si>
  <si>
    <t>ИНН</t>
  </si>
  <si>
    <t>ОГРН</t>
  </si>
  <si>
    <t>Сайт</t>
  </si>
  <si>
    <t>Юридический адрес</t>
  </si>
  <si>
    <t>Сотрудников</t>
  </si>
  <si>
    <t>Выручка (Ф2.2110)</t>
  </si>
  <si>
    <t>Прибыль (Ф2.2400)</t>
  </si>
  <si>
    <t>Стоимость (Ф1.1300)</t>
  </si>
  <si>
    <t>ПК "МАРИУПОЛЬСКОЕ ГОРПО"</t>
  </si>
  <si>
    <t>ПОТРЕБИТЕЛЬСКИЙ КООПЕРАТИВ ПО РАЗВИТИЮ ЭКОНОМИЧЕСКИХ И СОЦИАЛЬНЫХ ПРОГРАММ ДЛЯ ПАЙЩИКОВ "МАРИУПОЛЬСКОЕ ГОРОДСКОЕ ПОТРЕБИТЕЛЬСКОЕ ОБЩЕСТВО"</t>
  </si>
  <si>
    <t>действующее</t>
  </si>
  <si>
    <t>9310005196</t>
  </si>
  <si>
    <t>1229300141575</t>
  </si>
  <si>
    <t>ДОНЕЦКАЯ НАРОДНАЯ РЕСПУБЛИКА, МАРИУПОЛЬ, Г. МАРИУПОЛЬ, ПГТ. САРТАНА, ПЕР. ПАРКОВЫЙ, Д. 7</t>
  </si>
  <si>
    <t>МУП "МАРИУПОЛЬАВТОДОР"</t>
  </si>
  <si>
    <t>МУНИЦИПАЛЬНОЕ УНИТАРНОЕ ПРЕДПРИЯТИЕ "МАРИУПОЛЬАВТОДОР" АДМИНИСТРАЦИИ ГОРОДСКОГО ОКРУГА МАРИУПОЛЬ ДОНЕЦКОЙ НАРОДНОЙ РЕСПУБЛИКИ</t>
  </si>
  <si>
    <t>9310005044</t>
  </si>
  <si>
    <t>1229300141278</t>
  </si>
  <si>
    <t>287501, ДОНЕЦКАЯ НАРОДНАЯ РЕСПУБЛИКА, МАРИУПОЛЬ, Г. МАРИУПОЛЬ, Г. МАРИУПОЛЬ, УЛ. НИКОЛАЕВСКАЯ, Д. 92</t>
  </si>
  <si>
    <t>МУП "МАРИУПОЛЬГОРСВЕТ"</t>
  </si>
  <si>
    <t>МУНИЦИПАЛЬНОЕ УНИТАРНОЕ ПРЕДПРИЯТИЕ "МАРИУПОЛЬГОРСВЕТ" АДМИНИСТРАЦИИ ГОРОДСКОГО ОКРУГА МАРИУПОЛЬ ДОНЕЦКОЙ НАРОДНОЙ РЕСПУБЛИКИ</t>
  </si>
  <si>
    <t>9310004869</t>
  </si>
  <si>
    <t>1229300140937</t>
  </si>
  <si>
    <t>287537, ДОНЕЦКАЯ НАРОДНАЯ РЕСПУБЛИКА, МАРИУПОЛЬ, Г. МАРИУПОЛЬ, Г. МАРИУПОЛЬ, УЛ. ГАЙДАРА, Д. 18</t>
  </si>
  <si>
    <t>МУП "МАРИУПОЛЬЖИЛКОМПЛЕКС"</t>
  </si>
  <si>
    <t>МУНИЦИПАЛЬНОЕ УНИТАРНОЕ ПРЕДПРИЯТИЕ "МАРИУПОЛЬЖИЛКОМПЛЕКС" АДМИНИСТРАЦИИ ГОРОДСКОГО ОКРУГА МАРИУПОЛЬ ДОНЕЦКОЙ НАРОДНОЙ РЕСПУБЛИКИ</t>
  </si>
  <si>
    <t>9310003840</t>
  </si>
  <si>
    <t>1229300138924</t>
  </si>
  <si>
    <t>287512, ДОНЕЦКАЯ НАРОДНАЯ РЕСПУБЛИКА, МАРИУПОЛЬ, Г. МАРИУПОЛЬ, Г. МАРИУПОЛЬ, УЛ. ГРАНИТНАЯ, Д. 114</t>
  </si>
  <si>
    <t>МУП "МАРИУПОЛЬТРАНС"</t>
  </si>
  <si>
    <t>МУНИЦИПАЛЬНОЕ УНИТАРНОЕ ПРЕДПРИЯТИЕ "МАРИУПОЛЬТРАНС" АДМИНИСТРАЦИИ ГОРОДСКОГО ОКРУГА МАРИУПОЛЬ ДОНЕЦКОЙ НАРОДНОЙ РЕСПУБЛИКИ</t>
  </si>
  <si>
    <t>9310000367</t>
  </si>
  <si>
    <t>1229300130751</t>
  </si>
  <si>
    <t>ГКОУ "МАРИУПОЛЬСКАЯ СШИ № 11"</t>
  </si>
  <si>
    <t>ГОСУДАРСТВЕННОЕ КАЗЕННОЕ ОБЩЕОБРАЗОВАТЕЛЬНОЕ УЧРЕЖДЕНИЕ "МАРИУПОЛЬСКАЯ САНАТОРНАЯ ШКОЛА-ИНТЕРНАТ № 11"</t>
  </si>
  <si>
    <t>9310001434</t>
  </si>
  <si>
    <t>1229300132896</t>
  </si>
  <si>
    <t>287501, ДОНЕЦКАЯ НАРОДНАЯ РЕСПУБЛИКА, МАРИУПОЛЬ, Г. МАРИУПОЛЬ, Г. МАРИУПОЛЬ, УЛ. БАХЧИВАНДЖИ, Д. 29</t>
  </si>
  <si>
    <t>ГБПОУ "МАРИУПОЛЬСКИЙ АТТ"</t>
  </si>
  <si>
    <t>ГОСУДАРСТВЕННОЕ БЮДЖЕТНОЕ ПРОФЕССИОНАЛЬНОЕ ОБРАЗОВАТЕЛЬНОЕ УЧРЕЖДЕНИЕ "МАРИУПОЛЬСКИЙ АГРАРНО-ТЕХНОЛОГИЧЕСКИЙ ТЕХНИКУМ"</t>
  </si>
  <si>
    <t>9310000159</t>
  </si>
  <si>
    <t>1229300127165</t>
  </si>
  <si>
    <t>ДОНЕЦКАЯ НАРОДНАЯ РЕСПУБЛИКА, МАРИУПОЛЬ, Г. МАРИУПОЛЬ, Г. МАРИУПОЛЬ, УЛ. ГЕНЕРАЛА КУРКЧИ, Д. 49</t>
  </si>
  <si>
    <t>ООО "МАРИУПОЛЬСКИЙ ЦЕНТР НЕДВИЖИМОСТИ"</t>
  </si>
  <si>
    <t>ОБЩЕСТВО С ОГРАНИЧЕННОЙ ОТВЕТСТВЕННОСТЬЮ "МАРИУПОЛЬСКИЙ ЦЕНТР НЕДВИЖИМОСТИ"</t>
  </si>
  <si>
    <t>9310003833</t>
  </si>
  <si>
    <t>1229300138979</t>
  </si>
  <si>
    <t>287549, ДОНЕЦКАЯ НАРОДНАЯ РЕСПУБЛИКА, МАРИУПОЛЬ, Г. МАРИУПОЛЬ, Г. МАРИУПОЛЬ, Б-Р ШЕВЧЕНКО, Д. 301</t>
  </si>
  <si>
    <t>ООО "УПТК МАРИУПОЛЬСТРОЙ"</t>
  </si>
  <si>
    <t>ОБЩЕСТВО С ОГРАНИЧЕННОЙ ОТВЕТСТВЕННОСТЬЮ "УПРАВЛЕНИЕ ПРОИЗВОДСТВЕННО-ТЕХНОЛОГИЧЕСКОЙ КОМПЛЕКТАЦИИ МАРИУПОЛЬСТРОЙ"</t>
  </si>
  <si>
    <t>9310004837</t>
  </si>
  <si>
    <t>1229300140850</t>
  </si>
  <si>
    <t>287541, ДОНЕЦКАЯ НАРОДНАЯ РЕСПУБЛИКА, МАРИУПОЛЬ, Г. МАРИУПОЛЬ, Г. МАРИУПОЛЬ, УЛ. СТАНИСЛАВСКОГО, Д. 1</t>
  </si>
  <si>
    <t>ЧАО "МАРИУПОЛЬСКАЯ СХТ"</t>
  </si>
  <si>
    <t>ЧАСТНОЕ АКЦИОНЕРНОЕ ОБЩЕСТВО "МАРИУПОЛЬСКАЯ СЕЛЬХОЗТЕХНИКА"</t>
  </si>
  <si>
    <t>9310003110</t>
  </si>
  <si>
    <t>1229300137681</t>
  </si>
  <si>
    <t>287549, ДОНЕЦКАЯ НАРОДНАЯ РЕСПУБЛИКА, МАРИУПОЛЬ, Г. МАРИУПОЛЬ, Г. МАРИУПОЛЬ, УЛ. ОКТЯБРЬСКАЯ, Д. 10</t>
  </si>
  <si>
    <t>ГБУ "МАРИУПОЛЬСКИЙ ГЦЗ"</t>
  </si>
  <si>
    <t>ГОСУДАРСТВЕННОЕ БЮДЖЕТНОЕ УЧРЕЖДЕНИЕ "МАРИУПОЛЬСКИЙ ГОРОДСКОЙ ЦЕНТР ЗАНЯТОСТИ"</t>
  </si>
  <si>
    <t>9310002903</t>
  </si>
  <si>
    <t>1229300137384</t>
  </si>
  <si>
    <t>287549, ДОНЕЦКАЯ НАРОДНАЯ РЕСПУБЛИКА, МАРИУПОЛЬ, Г. МАРИУПОЛЬ, Г. МАРИУПОЛЬ, ПР-КТ МЕТАЛЛУРГОВ, Д. 84Б, КОМ. 9</t>
  </si>
  <si>
    <t>ФГБОУ ВО "МГУ ИМЕНИ А.И. КУИНДЖИ", МАРИУПОЛЬСКИЙ ГОСУДАРСТВЕННЫЙ УНИВЕРСИТЕТ ИМЕНИ А.И. КУИНДЖИ, МГУ ИМЕНИ А.И. КУИНДЖИ</t>
  </si>
  <si>
    <t>ФЕДЕРАЛЬНОЕ ГОСУДАРСТВЕННОЕ БЮДЖЕТНОЕ ОБРАЗОВАТЕЛЬНОЕ УЧРЕЖДЕНИЕ ВЫСШЕГО ОБРАЗОВАНИЯ "МАРИУПОЛЬСКИЙ ГОСУДАРСТВЕННЫЙ УНИВЕРСИТЕТ ИМЕНИ А.И. КУИНДЖИ"</t>
  </si>
  <si>
    <t>9310004516</t>
  </si>
  <si>
    <t>1229300139969</t>
  </si>
  <si>
    <t>287537, ДОНЕЦКАЯ НАРОДНАЯ РЕСПУБЛИКА, МАРИУПОЛЬ, Г. МАРИУПОЛЬ, Г. МАРИУПОЛЬ, ПР-КТ СТРОИТЕЛЕЙ, Д. 129А</t>
  </si>
  <si>
    <t>ГКОУ «МАРИУПОЛЬСКАЯ СШИ № 21»</t>
  </si>
  <si>
    <t>ГОСУДАРСТВЕННОЕ КАЗЕННОЕ ОБЩЕОБРАЗОВАТЕЛЬНОЕ УЧРЕЖДЕНИЕ "МАРИУПОЛЬСКАЯ СПЕЦИАЛЬНАЯ ШКОЛА-ИНТЕРНАТ № 21"</t>
  </si>
  <si>
    <t>9310003008</t>
  </si>
  <si>
    <t>1229300137340</t>
  </si>
  <si>
    <t>287554, ДОНЕЦКАЯ НАРОДНАЯ РЕСПУБЛИКА, МАРИУПОЛЬ, Г. МАРИУПОЛЬ, Г. МАРИУПОЛЬ, УЛ. ОСОАВИАХИМА, Д. 11</t>
  </si>
  <si>
    <t>ГКОУ «МАРИУПОЛЬСКАЯ СШИ № 37».</t>
  </si>
  <si>
    <t>ГОСУДАРСТВЕННОЕ КАЗЕННОЕ ОБЩЕОБРАЗОВАТЕЛЬНОЕ УЧРЕЖДЕНИЕ "МАРИУПОЛЬСКАЯ СПЕЦИАЛЬНАЯ ШКОЛА-ИНТЕРНАТ № 37"</t>
  </si>
  <si>
    <t>9310005830</t>
  </si>
  <si>
    <t>1229300142675</t>
  </si>
  <si>
    <t>287504, ДОНЕЦКАЯ НАРОДНАЯ РЕСПУБЛИКА, МАРИУПОЛЬ, Г. МАРИУПОЛЬ, Г. МАРИУПОЛЬ, ПР-Д ШОПЕНА, Д. 4</t>
  </si>
  <si>
    <t>ППО ФГБОУ ВО "МАРИУПОЛЬСКИЙ ГОСУДАРСТВЕННЫЙ УНИВЕРСИТЕТ ИМЕНИ А.И. КУИНДЖИ" ОБЩЕРОССИЙСКОГО ПРОФСОЮЗА ОБРАЗОВАНИЯ В ДОНЕЦКОЙ НАРОДНОЙ РЕСПУБЛИКЕ</t>
  </si>
  <si>
    <t>ПЕРВИЧНАЯ ПРОФСОЮЗНАЯ ОРГАНИЗАЦИЯ ФЕДЕРАЛЬНОГО ГОСУДАРСТВЕННОГО БЮДЖЕТНОГО ОБРАЗОВАТЕЛЬНОГО УЧРЕЖДЕНИЯ ВЫСШЕГО ОБРАЗОВАНИЯ "МАРИУПОЛЬСКИЙ ГОСУДАРСТВЕННЫЙ УНИВЕРСИТЕТ ИМЕНИ А.И. КУИНДЖИ" ПРОФЕССИОНАЛЬНОГО СОЮЗА РАБОТНИКОВ НАРОДНОГО ОБРАЗОВАНИЯ И НАУКИ РОССИЙСКОЙ ФЕДЕРАЦИИ В ДОНЕЦКОЙ НАРОДНОЙ РЕСПУБЛИКЕ</t>
  </si>
  <si>
    <t>9310009560</t>
  </si>
  <si>
    <t>1239300009630</t>
  </si>
  <si>
    <t>ДОНЕЦКАЯ НАРОДНАЯ РЕСПУБЛИКА, МАРИУПОЛЬ, Г. МАРИУПОЛЬ, Г. МАРИУПОЛЬ, ПР-КТ СТРОИТЕЛЕЙ, ЗД. 129</t>
  </si>
  <si>
    <t>МАРИУПОЛЬСКАЯ КОЛЛЕГИЯ АДВОКАТОВ</t>
  </si>
  <si>
    <t>"МАРИУПОЛЬСКАЯ КОЛЛЕГИЯ АДВОКАТОВ ДОНЕЦКОЙ НАРОДНОЙ РЕСПУБЛИКИ"</t>
  </si>
  <si>
    <t>9310010125</t>
  </si>
  <si>
    <t>1239300011488</t>
  </si>
  <si>
    <t>287501, ДОНЕЦКАЯ НАРОДНАЯ РЕСПУБЛИКА, МАРИУПОЛЬ, Г. МАРИУПОЛЬ, Г. МАРИУПОЛЬ, ПР-КТ СТРОИТЕЛЕЙ, Д. 60, ПОМЕЩ. И-2</t>
  </si>
  <si>
    <t>ООО "МАРИУПОЛЬСКИЙ ОКОННЫЙ ЗАВОД"</t>
  </si>
  <si>
    <t>ОБЩЕСТВО С ОГРАНИЧЕННОЙ ОТВЕТСТВЕННОСТЬЮ "МАРИУПОЛЬСКИЙ ОКОННЫЙ ЗАВОД"</t>
  </si>
  <si>
    <t>9310010118</t>
  </si>
  <si>
    <t>1239300011455</t>
  </si>
  <si>
    <t>287549, ДОНЕЦКАЯ НАРОДНАЯ РЕСПУБЛИКА, МАРИУПОЛЬ, Г. МАРИУПОЛЬ, Г. МАРИУПОЛЬ, УЛ. ГРЕЧЕСКАЯ, Д. 206</t>
  </si>
  <si>
    <t>МАРИУПОЛЬСКАЯ МО ВОИ</t>
  </si>
  <si>
    <t>МАРИУПОЛЬСКАЯ МЕСТНАЯ ОРГАНИЗАЦИЯ ОБЩЕРОССИЙСКОЙ ОБЩЕСТВЕННОЙ ОРГАНИЗАЦИИ "ВСЕРОССИЙСКОЕ ОБЩЕСТВО ИНВАЛИДОВ"</t>
  </si>
  <si>
    <t>9310010693</t>
  </si>
  <si>
    <t>1239300013677</t>
  </si>
  <si>
    <t>287537, ДОНЕЦКАЯ НАРОДНАЯ РЕСПУБЛИКА, МАРИУПОЛЬ, Г. МАРИУПОЛЬ, Г. МАРИУПОЛЬ, ПР-КТ СТРОИТЕЛЕЙ, Д. 98, КВ. 26</t>
  </si>
  <si>
    <t>МАРИУПОЛЬСКИЙ ГОРОДСКОЙ СОВЕТ</t>
  </si>
  <si>
    <t>МАРИУПОЛЬСКИЙ ГОРОДСКОЙ СОВЕТ ДОНЕЦКОЙ НАРОДНОЙ РЕСПУБЛИКИ</t>
  </si>
  <si>
    <t>9310010615</t>
  </si>
  <si>
    <t>1239300013424</t>
  </si>
  <si>
    <t>ДОНЕЦКАЯ НАРОДНАЯ РЕСПУБЛИКА, МАРИУПОЛЬ, Г. МАРИУПОЛЬ, Г. МАРИУПОЛЬ, УЛ. ГРОМОВОЙ, Д. 63</t>
  </si>
  <si>
    <t>МАРИУПОЛЬСКАЯ ГО ПРОФСОЮЗА РАБОТНИКОВ ЗДРАВООХРАНЕНИЯ РФ</t>
  </si>
  <si>
    <t>МАРИУПОЛЬСКАЯ ГОРОДСКАЯ ОРГАНИЗАЦИЯ ПРОФЕССИОНАЛЬНОГО СОЮЗА РАБОТНИКОВ ЗДРАВООХРАНЕНИЯ РОССИЙСКОЙ ФЕДЕРАЦИИ</t>
  </si>
  <si>
    <t>9310013260</t>
  </si>
  <si>
    <t>1249300006713</t>
  </si>
  <si>
    <t>287537, ДОНЕЦКАЯ НАРОДНАЯ РЕСПУБЛИКА, МАРИУПОЛЬ, Г. МАРИУПОЛЬ, Г. МАРИУПОЛЬ, УЛ. 50 ЛЕТ СССР, Д. 46</t>
  </si>
  <si>
    <t>ООО "УК МАРИУПОЛЬЖИЛСЕРВИС"</t>
  </si>
  <si>
    <t>ОБЩЕСТВО С ОГРАНИЧЕННОЙ ОТВЕТСТВЕННОСТЬЮ "УПРАВЛЯЮЩАЯ КОМПАНИЯ МАРИУПОЛЬЖИЛСЕРВИС"</t>
  </si>
  <si>
    <t>9310014017</t>
  </si>
  <si>
    <t>1249300009595</t>
  </si>
  <si>
    <t>ДОНЕЦКАЯ НАРОДНАЯ РЕСПУБЛИКА, МАРИУПОЛЬ, Г. МАРИУПОЛЬ, Г. МАРИУПОЛЬ, ПР-КТ МЕТАЛЛУРГОВ, Д. 87А, ПОМЕЩ. 12</t>
  </si>
  <si>
    <t>ООО "МАРИУПОЛЬСЕТЕСНАСТЬ"</t>
  </si>
  <si>
    <t>ОБЩЕСТВО С ОГРАНИЧЕННОЙ ОТВЕТСТВЕННОСТЬЮ"МАРИУПОЛЬСЕТЕСНАСТЬ"</t>
  </si>
  <si>
    <t>9310015042</t>
  </si>
  <si>
    <t>1249300012741</t>
  </si>
  <si>
    <t>287504, ДОНЕЦКАЯ НАРОДНАЯ РЕСПУБЛИКА, МАРИУПОЛЬ, Г. МАРИУПОЛЬ, Г. МАРИУПОЛЬ, ПЕР. САДКОВЫЙ, Д. 16А</t>
  </si>
  <si>
    <t>ГКО "СТАНИЦА МАРИУПОЛЬСКАЯ"</t>
  </si>
  <si>
    <t>ГОРОДСКОЕ КАЗАЧЬЕ ОБЩЕСТВО "СТАНИЦА МАРИУПОЛЬСКАЯ"</t>
  </si>
  <si>
    <t>9310017307</t>
  </si>
  <si>
    <t>1249300020826</t>
  </si>
  <si>
    <t>ДОНЕЦКАЯ НАРОДНАЯ РЕСПУБЛИКА, МАРИУПОЛЬ, Г. МАРИУПОЛЬ, Г. МАРИУПОЛЬ, УЛ. БЛАЖЕВИЧА, Д. 17/29</t>
  </si>
  <si>
    <t>МАРИУПОЛЬСКАЯ ГОРОДСКАЯ ОРГАНИЗАЦИЯ ДОНЕЦКОЙ РЕГИОНАЛЬНОЙ ОБЩЕСТВЕННОЙ ОРГАНИЗАЦИИ ВЕТЕРАНОВ</t>
  </si>
  <si>
    <t>МАРИУПОЛЬСКАЯ ГОРОДСКАЯ ОРГАНИЗАЦИЯ ДОНЕЦКОЙ РЕГИОНАЛЬНОЙ ОБЩЕСТВЕННОЙ ОРГАНИЗАЦИИ ВЕТЕРАНОВ (ПЕНСИОНЕРОВ) ВОЙНЫ, ТРУДА, ВООРУЖЕННЫХ СИЛ, ПРАВООХРАНИТЕЛЬНЫХ ОРГАНОВ</t>
  </si>
  <si>
    <t>9310017650</t>
  </si>
  <si>
    <t>1259300000893</t>
  </si>
  <si>
    <t>287501, ДОНЕЦКАЯ НАРОДНАЯ РЕСПУБЛИКА, МАРИУПОЛЬ, Г. МАРИУПОЛЬ, Г. МАРИУПОЛЬ, УЛ. НИКОЛАЕВСКАЯ, Д. 66</t>
  </si>
  <si>
    <t>ГБОУ "СШ№ 33 Г.О. МАРИУПОЛЬ"</t>
  </si>
  <si>
    <t>ГОСУДАРСТВЕННОЕ БЮДЖЕТНОЕ ОБЩЕОБРАЗОВАТЕЛЬНОЕ УЧРЕЖДЕНИЕ "СРЕДНЯЯ ШКОЛА № 33 ГОРОДСКОГО ОКРУГА МАРИУПОЛЬ" ДОНЕЦКОЙ НАРОДНОЙ РЕСПУБЛИКИ</t>
  </si>
  <si>
    <t>9310002558</t>
  </si>
  <si>
    <t>1229300136262</t>
  </si>
  <si>
    <t>287521, ДОНЕЦКАЯ НАРОДНАЯ РЕСПУБЛИКА, МАРИУПОЛЬ, Г. МАРИУПОЛЬ, Г. МАРИУПОЛЬ, УЛ. МАРИУПОЛЬСКАЯ, Д. 18А</t>
  </si>
  <si>
    <t>ГКДОУ "ДЕТСКИЙ САД" №8 Г. О. МАРИУПОЛЬ" ДНР</t>
  </si>
  <si>
    <t>ГОСУДАРСТВЕННОЕ КАЗЕННОЕ ДОШКОЛЬНОЕ ОБРАЗОВАТЕЛЬНОЕ УЧРЕЖДЕНИЕ "ДЕТСКИЙ САД № 8 "МИКРУЛИС" КОМБИНИРОВАННОГО ВИДА ГОРОДСКОГО ОКРУГА МАРИУПОЛЬ "ДОНЕЦКОЙ НАРОДНОЙ РЕСПУБЛИКИ</t>
  </si>
  <si>
    <t>9310004160</t>
  </si>
  <si>
    <t>1229300139430</t>
  </si>
  <si>
    <t>ДОНЕЦКАЯ НАРОДНАЯ РЕСПУБЛИКА, МАРИУПОЛЬ, Г. МАРИУПОЛЬ, ПГТ. САРТАНА, УЛ. ЛАФАЗАНА, Д. 53</t>
  </si>
  <si>
    <t>ГКДОУ "ДЕТСКИЙ САД № 101 Г.О. МАРИУПОЛЬ" ДНР</t>
  </si>
  <si>
    <t>ГОСУДАРСТВЕННОЕ КАЗЕННОЕ ДОШКОЛЬНОЕ ОБРАЗОВАТЕЛЬНОЕ УЧРЕЖДЕНИЕ "ДЕТСКИЙ САД № 101 "ЖУРАВУШКА" КОМБИНИРОВАННОГО ВИДА ГОРОДСКОГО ОКРУГА МАРИУПОЛЬ" ДОНЕЦКОЙ НАРОДНОЙ РЕСПУБЛИКИ</t>
  </si>
  <si>
    <t>9310004474</t>
  </si>
  <si>
    <t>1229300140057</t>
  </si>
  <si>
    <t>287591, ДОНЕЦКАЯ НАРОДНАЯ РЕСПУБЛИКА, МАРИУПОЛЬ, Г. МАРИУПОЛЬ, ПГТ. СТАРЫЙ КРЫМ, УЛ. ГРАНИТНАЯ, Д. 55Б</t>
  </si>
  <si>
    <t>ГБОУ "СШ №8 Г.О.МАРИУПОЛЬ"</t>
  </si>
  <si>
    <t>ГОСУДАРСТВЕННОЕ БЮДЖЕТНОЕ ОБЩЕОБРАЗОВАТЕЛЬНОЕ УЧРЕЖДЕНИЕ "СРЕДНЯЯ ШКОЛА №8 ИМЕНИ В.С.БОЙКО ГОРОДСКОГО ОКРУГА МАРИУПОЛЬ" ДОНЕЦКОЙ НАРОДНОЙ РЕСПУБЛИКИ</t>
  </si>
  <si>
    <t>9310000092</t>
  </si>
  <si>
    <t>1229300099490</t>
  </si>
  <si>
    <t>287592, ДОНЕЦКАЯ НАРОДНАЯ РЕСПУБЛИКА, МАРИУПОЛЬ, Г. МАРИУПОЛЬ, ПГТ. САРТАНА, УЛ. ГЕНЕРАЛА КУРКЧИ, Д. 37</t>
  </si>
  <si>
    <t>ГБОУ "СШ №46 Г.О. МАРИУПОЛЬ"</t>
  </si>
  <si>
    <t>ГОСУДАРСТВЕННОЕ БЮДЖЕТНОЕ ОБЩЕОБРАЗОВАТЕЛЬНОЕ УЧРЕЖДЕНИЕ "СРЕДНЯЯ ШКОЛА №46 ГОРОДСКОГО ОКРУГА МАРИУПОЛЬ" ДОНЕЦКОЙ НАРОДНОЙ РЕСПУБЛИКИ</t>
  </si>
  <si>
    <t>9310000085</t>
  </si>
  <si>
    <t>1229300098610</t>
  </si>
  <si>
    <t>ДОНЕЦКАЯ НАРОДНАЯ РЕСПУБЛИКА, МАРИУПОЛЬ, Г. МАРИУПОЛЬ, ПГТ. СТАРЫЙ КРЫМ, УЛ. ЛЕНИНА, Д. 41А</t>
  </si>
  <si>
    <t>ГБОУ " СШ №58 Г.О. МАРИУПОЛЬ"</t>
  </si>
  <si>
    <t>ГОСУДАРСТВЕННОЕ БЮДЖЕТНОЕ ОБЩЕОБРАЗОВАТЕЛЬНОЕ УЧРЕЖДЕНИЕ "СРЕДНЯЯ ШКОЛА №58 ГОРОДСКОГО ОКРУГА МАРИУПОЛЬ" ДОНЕЦКОЙ НАРОДНОЙ РЕСПУБЛИКИ</t>
  </si>
  <si>
    <t>9310000102</t>
  </si>
  <si>
    <t>1229300099500</t>
  </si>
  <si>
    <t>287594, ДОНЕЦКАЯ НАРОДНАЯ РЕСПУБЛИКА, МАРИУПОЛЬ, Г. МАРИУПОЛЬ, ПГТ. ТАЛАКОВКА, УЛ. 40 ЛЕТ ОКТЯБРЯ, Д. 170</t>
  </si>
  <si>
    <t>ГКДОУ "ДЕТСКИЙ САД № 166 Г.О.МАРИУПОЛЬ" ДНР.</t>
  </si>
  <si>
    <t>ГОСУДАРСТВЕННОЕ КАЗЕННОЕ ДОШКОЛЬНОЕ ОБРАЗОВАТЕЛЬНОЕ УЧРЕЖДЕНИЕ "ДЕТСКИЙ САД № 166 "ДИОСКУРИЯ" КОМБИНИРОВАННОГО ВИДА ГОРОДСКОГО ОКРУГА МАРИУПОЛЬ" ДОНЕЦКОЙ НАРОДНОЙ РЕСПУБЛИКИ</t>
  </si>
  <si>
    <t>9310004234</t>
  </si>
  <si>
    <t>1229300139749</t>
  </si>
  <si>
    <t>287592, ДОНЕЦКАЯ НАРОДНАЯ РЕСПУБЛИКА, МАРИУПОЛЬ, Г. МАРИУПОЛЬ, ПГТ. САРТАНА, УЛ. ОКТЯБРЬСКАЯ, Д. 25</t>
  </si>
  <si>
    <t>ГКДОУ "ДЕТСКИЙ САД № 93 Г. О. МАРИУПОЛЬ" ДНР</t>
  </si>
  <si>
    <t>ГОСУДАРСТВЕННОЕ КАЗЕННОЕ ДОШКОЛЬНОЕ ОБРАЗОВАТЕЛЬНОЕ УЧРЕЖДЕНИЕ "ДЕТСКИЙ САД № 93 "ЗЁРНЫШКО" КОМБИНИРОВАННОГО ВИДА ГОРОДСКОГО ОКРУГА МАРИУПОЛЬ" ДОНЕЦКОЙ НАРОДНОЙ РЕСПУБЛИКИ</t>
  </si>
  <si>
    <t>9310003569</t>
  </si>
  <si>
    <t>1229300138540</t>
  </si>
  <si>
    <t>287594, ДОНЕЦКАЯ НАРОДНАЯ РЕСПУБЛИКА, МАРИУПОЛЬ, Г. МАРИУПОЛЬ, ПГТ. ТАЛАКОВКА, УЛ. 40 ЛЕТ ОКТЯБРЯ, Д. 237</t>
  </si>
  <si>
    <t>УПРАВА ЖОВТНЕВОГО ВНУТРИГОРОДСКОГО РАЙОНА Г.МАРИУПОЛЬ</t>
  </si>
  <si>
    <t>УПРАВА ЖОВТНЕВОГО ВНУТРИГОРОДСКОГО РАЙОНА ГОРОДА МАРИУПОЛЬ АДМИНИСТРАЦИИ ГОРОДСКОГО ОКРУГА МАРИУПОЛЬ ДОНЕЦКОЙ НАРОДНОЙ РЕСПУБЛИКИ</t>
  </si>
  <si>
    <t>9310014747</t>
  </si>
  <si>
    <t>1249300011840</t>
  </si>
  <si>
    <t>ДОНЕЦКАЯ НАРОДНАЯ РЕСПУБЛИКА, МАРИУПОЛЬ, Г. МАРИУПОЛЬ, Г. МАРИУПОЛЬ, УЛ. АЭРОДРОМНАЯ, Д. 7</t>
  </si>
  <si>
    <t>УПРАВА ИЛЬИЧЕВСКОГО ВНУТРИГОРОДСКОГО РАЙОНА Г. МАРИУПОЛЬ</t>
  </si>
  <si>
    <t>УПРАВА ИЛЬИЧЕВСКОГО ВНУТРИГОРОДСКОГО РАЙОНА ГОРОДА МАРИУПОЛЬ АДМИНИСТРАЦИИ ГОРОДСКОГО ОКРУГА МАРИУПОЛЬ ДОНЕЦКОЙ НАРОДНОЙ РЕСПУБЛИКИ</t>
  </si>
  <si>
    <t>9310014761</t>
  </si>
  <si>
    <t>1249300011872</t>
  </si>
  <si>
    <t>287549, ДОНЕЦКАЯ НАРОДНАЯ РЕСПУБЛИКА, МАРИУПОЛЬ, Г. МАРИУПОЛЬ, Г. МАРИУПОЛЬ, ПР-КТ МЕТАЛЛУРГОВ, Д. 148</t>
  </si>
  <si>
    <t>УПРАВА ОРДЖОНИКИДЗЕВСКОГО ВНУТРИГОРОДСКОГО РАЙОНА Г.МАРИУПОЛЬ</t>
  </si>
  <si>
    <t>УПРАВА ОРДЖОНИКИДЗЕВСКОГО ВНУТРИГОРОДСКОГО РАЙОНА ГОРОДА МАРИУПОЛЬ АДМИНИСТРАЦИИ ГОРОДСКОГО ОКРУГА МАРИУПОЛЬ ДОНЕЦКОЙ НАРОДНОЙ РЕСПУБЛИКИ</t>
  </si>
  <si>
    <t>9310014754</t>
  </si>
  <si>
    <t>1249300011850</t>
  </si>
  <si>
    <t>287526, ДОНЕЦКАЯ НАРОДНАЯ РЕСПУБЛИКА, МАРИУПОЛЬ, Г. МАРИУПОЛЬ, Г. МАРИУПОЛЬ, УЛ. 130 ТАГАНРОГСКОЙ ДИВИЗИИ, Д. 110</t>
  </si>
  <si>
    <t>УПРАВА ПРИМОРСКОГО ВНУТРИГОРОДСКОГО РАЙОНА Г.МАРИУПОЛЬ</t>
  </si>
  <si>
    <t>УПРАВА ПРИМОРСКОГО ВНУТРИГОРОДСКОГО РАЙОНА ГОРОДА МАРИУПОЛЬ АДМИНИСТРАЦИИ ГОРОДСКОГО ОКРУГА МАРИУПОЛЬ ДОНЕЦКОЙ НАРОДНОЙ РЕСПУБЛИКИ</t>
  </si>
  <si>
    <t>9310014730</t>
  </si>
  <si>
    <t>1249300011839</t>
  </si>
  <si>
    <t>287510, ДОНЕЦКАЯ НАРОДНАЯ РЕСПУБЛИКА, МАРИУПОЛЬ, Г. МАРИУПОЛЬ, Г. МАРИУПОЛЬ, УЛ. ЧЕРНОМОРСКАЯ, Д. 6</t>
  </si>
  <si>
    <t>ГБУ "ГВБ Г. МАРИУПОЛЬ"</t>
  </si>
  <si>
    <t>ГОСУДАРСТВЕННОЕ БЮДЖЕТНОЕ УЧРЕЖДЕНИЕ "ГОСУДАРСТВЕННАЯ ВЕТЕРИНАРНАЯ БОЛЬНИЦА ГОРОДА МАРИУПОЛЬ"</t>
  </si>
  <si>
    <t>9310001667</t>
  </si>
  <si>
    <t>1229300133732</t>
  </si>
  <si>
    <t>287510, ДОНЕЦКАЯ НАРОДНАЯ РЕСПУБЛИКА, МАРИУПОЛЬ, Г. МАРИУПОЛЬ, Г. МАРИУПОЛЬ, УЛ. ГРИЗОДУБОВОЙ, Д. 3</t>
  </si>
  <si>
    <t>ГКДОУ "ДЕТСКИЙ САД № 100" Г. О. МАРИУПОЛЬ" ДНР</t>
  </si>
  <si>
    <t>ГОСУДАРСТВЕННОЕ КАЗЕННОЕ ДОШКОЛЬНОЕ ОБРАЗОВАТЕЛЬНОЕ УЧРЕЖДЕНИЕ  "ДЕТСКИЙ САД № 100 "ЛУЧИК" КОМБИНИРОВАННОГО ВИДА ГОРОДСКОГО ОКРУГА МАРИУПОЛЬ" ДОНЕЦКОЙ НАРОДНОЙ РЕСПУБЛИКИ</t>
  </si>
  <si>
    <t>9310001427</t>
  </si>
  <si>
    <t>1229300132808</t>
  </si>
  <si>
    <t>287552, ДОНЕЦКАЯ НАРОДНАЯ РЕСПУБЛИКА, МАРИУПОЛЬ, Г. МАРИУПОЛЬ, Г. МАРИУПОЛЬ, УЛ. КОЗЛОВА, Д. 116</t>
  </si>
  <si>
    <t>ГКДОУ "ДЕТСКИЙ САД № 102 Г.О. МАРИУПОЛЬ" ДНР</t>
  </si>
  <si>
    <t>ГОСУДАРСТВЕННОЕ КАЗЕННОЕ ДОШКОЛЬНОЕ ОБРАЗОВАТЕЛЬНОЕ УЧРЕЖДЕНИЕ "ДЕТСКИЙ САД № 102 "СОЛНЫШКО" КОМБИНИРОВАННОГО ВИДА ГОРОДСКОГО ОКРУГА МАРИУПОЛЬ" ДОНЕЦКОЙ НАРОДНОЙ РЕСПУБЛИКИ</t>
  </si>
  <si>
    <t>9310000818</t>
  </si>
  <si>
    <t>1229300132050</t>
  </si>
  <si>
    <t>287524, ДОНЕЦКАЯ НАРОДНАЯ РЕСПУБЛИКА, МАРИУПОЛЬ, Г. МАРИУПОЛЬ, Г. МАРИУПОЛЬ, УЛ. СЕЧЕНОВА, Д. 64</t>
  </si>
  <si>
    <t>ГКДОУ "ДЕТСКИЙ САД № 108 Г.О. МАРИУПОЛЬ" ДНР</t>
  </si>
  <si>
    <t>ГОСУДАРСТВЕННОЕ КАЗЕННОЕ ДОШКОЛЬНОЕ ОБРАЗОВАТЕЛЬНОЕ УЧРЕЖДЕНИЕ "ДЕТСКИЙ САД № 108 "РЯБИНКА" КОМБИНИРОВАННОГО ВИДА ГОРОДСКОГО ОКРУГА МАРИУПОЛЬ" ДОНЕЦКОЙ НАРОДНОЙ РЕСПУБЛИКИ</t>
  </si>
  <si>
    <t>9310003181</t>
  </si>
  <si>
    <t>1229300137714</t>
  </si>
  <si>
    <t>287549, ДОНЕЦКАЯ НАРОДНАЯ РЕСПУБЛИКА, МАРИУПОЛЬ, Г. МАРИУПОЛЬ, Г. МАРИУПОЛЬ, Б-Р ШЕВЧЕНКО, Д. 246</t>
  </si>
  <si>
    <t>ГКДОУ "ДЕТСКИЙ САД № 114 Г.О. МАРИУПОЛЬ" ДНР</t>
  </si>
  <si>
    <t>ГОСУДАРСТВЕННОЕ КАЗЕННОЕ ДОШКОЛЬНОЕ ОБРАЗОВАТЕЛЬНОЕ УЧРЕЖДЕНИЕ "ДЕТСКИЙ САД № 114 "КАЛИНОЧКА" КОМБИНИРОВАННОГО ВИДА ГОРОДСКОГО ОКРУГА МАРИУПОЛЬ" ДОНЕЦКОЙ НАРОДНОЙ РЕСПУБЛИКИ</t>
  </si>
  <si>
    <t>9310002276</t>
  </si>
  <si>
    <t>1229300135580</t>
  </si>
  <si>
    <t>287541, ДОНЕЦКАЯ НАРОДНАЯ РЕСПУБЛИКА, МАРИУПОЛЬ, Г. МАРИУПОЛЬ, Г. МАРИУПОЛЬ, УЛ. ВОЛГОГРАДСКАЯ, Д. 6</t>
  </si>
  <si>
    <t>ГКДОУ "ДЕТСКИЙ САД № 117 Г.О. МАРИУПОЛЬ" ДНР</t>
  </si>
  <si>
    <t>ГОСУДАРСТВЕННОЕ КАЗЕННОЕ ДОШКОЛЬНОЕ ОБРАЗОВАТЕЛЬНОЕ УЧРЕЖДЕНИЕ "ДЕТСКИЙ САД № 117 "ЮНЫЙ МОРЯК" КОМБИНИРОВАННОГО ВИДА ГОРОДСКОГО ОКРУГА МАРИУПОЛЬ" ДОНЕЦКОЙ НАРОДНОЙ РЕСПУБЛИКИ</t>
  </si>
  <si>
    <t>9310002822</t>
  </si>
  <si>
    <t>1229300136900</t>
  </si>
  <si>
    <t>ДОНЕЦКАЯ НАРОДНАЯ РЕСПУБЛИКА, МАРИУПОЛЬ, Г. МАРИУПОЛЬ, Г. МАРИУПОЛЬ, УЛ. НОВОРОССИЙСКАЯ, Д. 18</t>
  </si>
  <si>
    <t>ГКДОУ "ДЕТСКИЙ САД №131 Г.О. МАРИУПОЛЬ"ДНР</t>
  </si>
  <si>
    <t>ГОСУДАРСТВЕННОЕ КАЗЕННОЕ ДОШКОЛЬНОЕ ОБРАЗОВАТЕЛЬНОЕ УЧРЕЖДЕНИЕ "ДЕТСКИЙ САД №131 "МАЛЫШ" КОМБИНИРОВАННОГО ВИДА ГОРОДСКОГО ОКРУГА МАРИУПОЛЬ" ДОНЕЦКОЙ НАРОДНОЙ РЕСПУБЛИКИ</t>
  </si>
  <si>
    <t>9310002526</t>
  </si>
  <si>
    <t>1229300136196</t>
  </si>
  <si>
    <t>287504, ДОНЕЦКАЯ НАРОДНАЯ РЕСПУБЛИКА, МАРИУПОЛЬ, Г. МАРИУПОЛЬ, Г. МАРИУПОЛЬ, ПЕР. ДОМЕННЫЙ, Д. 1</t>
  </si>
  <si>
    <t>ГКДОУ "ДЕТСКИЙ САД № 140 Г.О. МАРИУПОЛЬ" ДНР</t>
  </si>
  <si>
    <t>ГОСУДАРСТВЕННОЕ КАЗЕННОЕ ДОШКОЛЬНОЕ ОБРАЗОВАТЕЛЬНОЕ УЧРЕЖДЕНИЕ "ДЕТСКИЙ САД № 140 "ПОДСНЕЖНИК" КОМБИНИРОВАННОГО ВИДА ГОРОДСКОГО ОКРУГА МАРИУПОЛЬ" ДОНЕЦКОЙ НАРОДНОЙ РЕСПУБЛИКИ</t>
  </si>
  <si>
    <t>9310002928</t>
  </si>
  <si>
    <t>1229300137153</t>
  </si>
  <si>
    <t>287504, ДОНЕЦКАЯ НАРОДНАЯ РЕСПУБЛИКА, МАРИУПОЛЬ, Г. МАРИУПОЛЬ, Г. МАРИУПОЛЬ, УЛ. МАМИНА-СИБИРЯКА, Д. 39А</t>
  </si>
  <si>
    <t>ГКДОУ "ДЕТСКИЙ САД №142 Г. О. МАРИУПОЛЬ" ДНР</t>
  </si>
  <si>
    <t>ГОСУДАРСТВЕННОЕ КАЗЕННОЕ ДОШКОЛЬНОЕ ОБРАЗОВАТЕЛЬНОЕ УЧРЕЖДЕНИЕ "ДЕТСКИЙ САД № 142 "УМКА" КОМБИНИРОВАННОГО ВИДА ГОРОДСКОГО ОКРУГА МАРИУПОЛЬ" ДОНЕЦКОЙ НАРОДНОЙ РЕСПУБЛИКИ</t>
  </si>
  <si>
    <t>9310002773</t>
  </si>
  <si>
    <t>1229300136581</t>
  </si>
  <si>
    <t>287526, ДОНЕЦКАЯ НАРОДНАЯ РЕСПУБЛИКА, МАРИУПОЛЬ, Г. МАРИУПОЛЬ, Г. МАРИУПОЛЬ, УЛ. ОЛИМПИЙСКАЯ, Д. 63А</t>
  </si>
  <si>
    <t>ГКДОУ "ДЕТСКИЙ САД № 148 Г.О.МАРИУПОЛЬ" ДНР</t>
  </si>
  <si>
    <t>ГОСУДАРСТВЕННОЕ КАЗЕННОЕ ДОШКОЛЬНОЕ ОБРАЗОВАТЕЛЬНОЕ УЧРЕЖДЕНИЕ "ДЕТСКИЙ САД № 148 "РУЧЕЁК" КОМБИНИРОВАННОГО ВИДА ГОРОДСКОГО ОКРУГА МАРИУПОЛЬ" ДОНЕЦКОЙ НАРОДНОЙ РЕСПУБЛИКИ</t>
  </si>
  <si>
    <t>9310003135</t>
  </si>
  <si>
    <t>1229300137846</t>
  </si>
  <si>
    <t>287512, ДОНЕЦКАЯ НАРОДНАЯ РЕСПУБЛИКА, МАРИУПОЛЬ, Г. МАРИУПОЛЬ, Г. МАРИУПОЛЬ, УЛ. 60 ЛЕТ СССР, Д. 17</t>
  </si>
  <si>
    <t>ГКДОУ "ДЕТСКИЙ САД № 150 Г.О.МАРИУПОЛЬ" ДНР</t>
  </si>
  <si>
    <t>ГОСУДАРСТВЕННОЕ КАЗЕННОЕ ДОШКОЛЬНОЕ ОБРАЗОВАТЕЛЬНОЕ УЧРЕЖДЕНИЕ "ДЕТСКИЙ САД № 150 "ИЗЮМИНКА" КОМБИНИРОВАННОГО ВИДА ГОРОДСКОГО ОКРУГА МАРИУПОЛЬ" ДОНЕЦКОЙ НАРОДНОЙ РЕСПУБЛИКИ</t>
  </si>
  <si>
    <t>9310002090</t>
  </si>
  <si>
    <t>1229300135184</t>
  </si>
  <si>
    <t>287549, ДОНЕЦКАЯ НАРОДНАЯ РЕСПУБЛИКА, МАРИУПОЛЬ, Г. МАРИУПОЛЬ, Г. МАРИУПОЛЬ, УЛ. КАЗАНЦЕВА, Д. 31А</t>
  </si>
  <si>
    <t>ГКДОУ "ДЕТСКИЙ САД № 54 Г.О. МАРИУПОЛЬ" ДНР</t>
  </si>
  <si>
    <t>ГОСУДАРСТВЕННОЕ КАЗЕННОЕ ДОШКОЛЬНОЕ ОБРАЗОВАТЕЛЬНОЕ УЧРЕЖДЕНИЕ "ДЕТСКИЙ САД № 54 "КОЛОБОК" КОМБИНИРОВАННОГО ВИДА ГОРОДСКОГО ОКРУГА МАРИУПОЛЬ" ДОНЕЦКОЙ НАРОДНОЙ РЕСПУБЛИКИ</t>
  </si>
  <si>
    <t>9310002950</t>
  </si>
  <si>
    <t>1229300137208</t>
  </si>
  <si>
    <t>287510, ДОНЕЦКАЯ НАРОДНАЯ РЕСПУБЛИКА, МАРИУПОЛЬ, Г. МАРИУПОЛЬ, Г. МАРИУПОЛЬ, УЛ. ЧЕРНОМОРСКАЯ, Д. 35</t>
  </si>
  <si>
    <t>ГКДОУ "ДЕТСКИЙ САД № 72 Г.О. МАРИУПОЛЬ" ДНР</t>
  </si>
  <si>
    <t>ГОСУДАРСТВЕННОЕ КАЗЕННОЕ ДОШКОЛЬНОЕ ОБРАЗОВАТЕЛЬНОЕ УЧРЕЖДЕНИЕ "ДЕТСКИЙ САД № 72 "ВЕСЁЛАЯ ПЛАНЕТА" КОМБИНИРОВАННОГО ВИДА ГОРОДСКОГО ОКРУГА МАРИУПОЛЬ" ДОНЕЦКОЙ НАРОДНОЙ РЕСПУБЛИКИ</t>
  </si>
  <si>
    <t>9310002639</t>
  </si>
  <si>
    <t>1229300136438</t>
  </si>
  <si>
    <t>287549, ДОНЕЦКАЯ НАРОДНАЯ РЕСПУБЛИКА, МАРИУПОЛЬ, Г. МАРИУПОЛЬ, Г. МАРИУПОЛЬ, УЛ. КОММУНАРОВ, Д. 25А</t>
  </si>
  <si>
    <t>ГКДОУ "ДЕТСКИЙ САД № 73 Г.О. МАРИУПОЛЬ" ДНР</t>
  </si>
  <si>
    <t>ГОСУДАРСТВЕННОЕ КАЗЕННОЕ ДОШКОЛЬНОЕ ОБРАЗОВАТЕЛЬНОЕ УЧРЕЖДЕНИЕ "ДЕТСКИЙ САД № 73 "ОРЕШЕК" КОМБИНИРОВАННОГО ВИДА ГОРОДСКОГО ОКРУГА МАРИУПОЛЬ" ДОНЕЦКОЙ НАРОДНОЙ РЕСПУБЛИКИ</t>
  </si>
  <si>
    <t>9310002653</t>
  </si>
  <si>
    <t>1229300136449</t>
  </si>
  <si>
    <t>287524, ДОНЕЦКАЯ НАРОДНАЯ РЕСПУБЛИКА, МАРИУПОЛЬ, Г. МАРИУПОЛЬ, Г. МАРИУПОЛЬ, УЛ. СЕЧЕНОВА, Д. 53</t>
  </si>
  <si>
    <t>ГКДОУ "ДЕТСКИЙ САД № 98 Г.О. МАРИУПОЛЬ" ДНР</t>
  </si>
  <si>
    <t>ГОСУДАРСТВЕННОЕ КАЗЕННОЕ ДОШКОЛЬНОЕ ОБРАЗОВАТЕЛЬНОЕ УЧРЕЖДЕНИЕ "ДЕТСКИЙ САД № 98 "РАДУГА" КОМБИНИРОВАННОГО ВИДА ГОРОДСКОГО ОКРУГА МАРИУПОЛЬ" ДОНЕЦКОЙ НАРОДНОЙ РЕСПУБЛИКИ</t>
  </si>
  <si>
    <t>9310003382</t>
  </si>
  <si>
    <t>1229300138198</t>
  </si>
  <si>
    <t>287524, ДОНЕЦКАЯ НАРОДНАЯ РЕСПУБЛИКА, МАРИУПОЛЬ, Г. МАРИУПОЛЬ, Г. МАРИУПОЛЬ, УЛ. ГОНДЫ, Д. 44</t>
  </si>
  <si>
    <t>ГБОУ "СШ № 34 Г.О. МАРИУПОЛЬ"</t>
  </si>
  <si>
    <t>ГОСУДАРСТВЕННОЕ БЮДЖЕТНОЕ ОБЩЕОБРАЗОВАТЕЛЬНОЕ УЧРЕЖДЕНИЕ "СРЕДНЯЯ ШКОЛА № 34 ГОРОДСКОГО ОКРУГА МАРИУПОЛЬ" ДОНЕЦКОЙ НАРОДНОЙ РЕСПУБЛИКИ</t>
  </si>
  <si>
    <t>9310005485</t>
  </si>
  <si>
    <t>1229300141905</t>
  </si>
  <si>
    <t>287513, ДОНЕЦКАЯ НАРОДНАЯ РЕСПУБЛИКА, МАРИУПОЛЬ, Г. МАРИУПОЛЬ, Г. МАРИУПОЛЬ, УЛ. ГАСТЕЛЛО, Д. 17</t>
  </si>
  <si>
    <t>ГБОУ "СШ № 38 Г.О. МАРИУПОЛЬ" ДОНЕЦКОЙ НАРОДНОЙ РЕСПУБЛИКИ</t>
  </si>
  <si>
    <t>ГОСУДАРСТВЕННОЕ БЮДЖЕТНОЕ ОБЩЕОБРАЗОВАТЕЛЬНОЕ УЧРЕЖДЕНИЕ "СРЕДНЯЯ ШКОЛА № 38 ГОРОДСКОГО ОКРУГА МАРИУПОЛЬ" ДОНЕЦКОЙ НАРОДНОЙ РЕСПУБЛИКИ</t>
  </si>
  <si>
    <t>9310002886</t>
  </si>
  <si>
    <t>1229300137065</t>
  </si>
  <si>
    <t>ДОНЕЦКАЯ НАРОДНАЯ РЕСПУБЛИКА, МАРИУПОЛЬ, Г. МАРИУПОЛЬ, Г. МАРИУПОЛЬ, УЛ. ФРУНЗЕ, Д. 29</t>
  </si>
  <si>
    <t>ГБОУ "СШ №4 Г.О.МАРИУПОЛЬ"</t>
  </si>
  <si>
    <t>ГОСУДАРСТВЕННОЕ БЮДЖЕТНОЕ ОБЩЕОБРАЗОВАТЕЛЬНОЕ УЧРЕЖДЕНИЕ "СРЕДНЯЯ ШКОЛА №4 ГОРОДСКОГО ОКРУГА МАРИУПОЛЬ" ДОНЕЦКОЙ НАРОДНОЙ РЕСПУБЛИКИ</t>
  </si>
  <si>
    <t>9310005654</t>
  </si>
  <si>
    <t>1229300142224</t>
  </si>
  <si>
    <t>287524, ДОНЕЦКАЯ НАРОДНАЯ РЕСПУБЛИКА, МАРИУПОЛЬ, Г. МАРИУПОЛЬ, Г. МАРИУПОЛЬ, УЛ. СЕЧЕНОВА, Д. 51А</t>
  </si>
  <si>
    <t>ГБОУ "СШ № 41 Г.О. МАРИУПОЛЬ"</t>
  </si>
  <si>
    <t>ГОСУДАРСТВЕННОЕ БЮДЖЕТНОЕ ОБЩЕОБРАЗОВАТЕЛЬНОЕ УЧРЕЖДЕНИЕ "СРЕДНЯЯ ШКОЛА № 41 ГОРОДСКОГО ОКРУГА МАРИУПОЛЬ" ДОНЕЦКОЙ НАРОДНОЙ РЕСПУБЛИКИ</t>
  </si>
  <si>
    <t>9310005478</t>
  </si>
  <si>
    <t>1229300141916</t>
  </si>
  <si>
    <t>287526, ДОНЕЦКАЯ НАРОДНАЯ РЕСПУБЛИКА, МАРИУПОЛЬ, Г. МАРИУПОЛЬ, Г. МАРИУПОЛЬ, УЛ. ОЛИМПИЙСКАЯ, Д. 67</t>
  </si>
  <si>
    <t>ГБОУ "СШ № 47 Г.О. МАРИУПОЛЬ"</t>
  </si>
  <si>
    <t>ГОСУДАРСТВЕННОЕ БЮДЖЕТНОЕ ОБЩЕОБРАЗОВАТЕЛЬНОЕ УЧРЕЖДЕНИЕ "СРЕДНЯЯ ШКОЛА № 47 ГОРОДСКОГО ОКРУГА МАРИУПОЛЬ" ДОНЕЦКОЙ НАРОДНОЙ РЕСПУБЛИКИ</t>
  </si>
  <si>
    <t>9310002815</t>
  </si>
  <si>
    <t>1229300136845</t>
  </si>
  <si>
    <t>287504, ДОНЕЦКАЯ НАРОДНАЯ РЕСПУБЛИКА, МАРИУПОЛЬ, Г. МАРИУПОЛЬ, Г. МАРИУПОЛЬ, УЛ. ЛУТА, Д. 32</t>
  </si>
  <si>
    <t>ГБОУ "СШ № 5 Г.О. МАРИУПОЛЬ"</t>
  </si>
  <si>
    <t>ГОСУДАРСТВЕННОЕ БЮДЖЕТНОЕ ОБЩЕОБРАЗОВАТЕЛЬНОЕ УЧРЕЖДЕНИЕ "СРЕДНЯЯ ШКОЛА № 5 ГОРОДСКОГО ОКРУГА МАРИУПОЛЬ" ДОНЕЦКОЙ НАРОДНОЙ РЕСПУБЛИКИ</t>
  </si>
  <si>
    <t>9310005284</t>
  </si>
  <si>
    <t>1229300141597</t>
  </si>
  <si>
    <t>287557, ДОНЕЦКАЯ НАРОДНАЯ РЕСПУБЛИКА, МАРИУПОЛЬ, Г. МАРИУПОЛЬ, Г. МАРИУПОЛЬ, УЛ. КИЕВСКАЯ, Д. 72</t>
  </si>
  <si>
    <t>ГБОУ "СШ № 50 Г.О.МАРИУПОЛЬ"</t>
  </si>
  <si>
    <t>ГОСУДАРСТВЕННОЕ БЮДЖЕТНОЕ ОБЩЕОБРАЗОВАТЕЛЬНОЕ УЧРЕЖДЕНИЕ "СРЕДНЯЯ ШКОЛА № 50 ГОРОДСКОГО ОКРУГА МАРИУПОЛЬ" ДОНЕЦКОЙ НАРОДНОЙ РЕСПУБЛИКИ</t>
  </si>
  <si>
    <t>9310005686</t>
  </si>
  <si>
    <t>1229300142235</t>
  </si>
  <si>
    <t>287552, ДОНЕЦКАЯ НАРОДНАЯ РЕСПУБЛИКА, МАРИУПОЛЬ, Г. МАРИУПОЛЬ, Г. МАРИУПОЛЬ, УЛ. НЕВСКАЯ, Д. 91</t>
  </si>
  <si>
    <t>ГБОУ "СШ № 53 Г.О. МАРИУПОЛЬ"</t>
  </si>
  <si>
    <t>ГОСУДАРСТВЕННОЕ БЮДЖЕТНОЕ ОБЩЕОБРАЗОВАТЕЛЬНОЕ УЧРЕЖДЕНИЕ "СРЕДНЯЯ ШКОЛА № 53 ГОРОДСКОГО ОКРУГА МАРИУПОЛЬ" ДОНЕЦКОЙ НАРОДНОЙ РЕСПУБЛИКИ</t>
  </si>
  <si>
    <t>9310003030</t>
  </si>
  <si>
    <t>1229300137890</t>
  </si>
  <si>
    <t>287549, ДОНЕЦКАЯ НАРОДНАЯ РЕСПУБЛИКА, МАРИУПОЛЬ, Г. МАРИУПОЛЬ, Г. МАРИУПОЛЬ, УЛ. УРИЦКОГО, Д. 79А</t>
  </si>
  <si>
    <t>ГБОУ "СШ № 59 Г.О. МАРИУПОЛЬ"</t>
  </si>
  <si>
    <t>ГОСУДАРСТВЕННОЕ БЮДЖЕТНОЕ ОБЩЕОБРАЗОВАТЕЛЬНОЕ УЧРЕЖДЕНИЕ "СРЕДНЯЯ ШКОЛА № 59 ГОРОДСКОГО ОКРУГА МАРИУПОЛЬ" ДОНЕЦКОЙ НАРОДНОЙ РЕСПУБЛИКИ</t>
  </si>
  <si>
    <t>9310002910</t>
  </si>
  <si>
    <t>1229300137219</t>
  </si>
  <si>
    <t>ДОНЕЦКАЯ НАРОДНАЯ РЕСПУБЛИКА, МАРИУПОЛЬ, Г. МАРИУПОЛЬ, Г. МАРИУПОЛЬ, УЛ. ВОИНОВ-ОСВОБОДИТЕЛЕЙ, Д. 92</t>
  </si>
  <si>
    <t>ГБОУ "СШ № 64 Г. О. МАРИУПОЛЬ"</t>
  </si>
  <si>
    <t>ГОСУДАРСТВЕННОЕ БЮДЖЕТНОЕ ОБЩЕОБРАЗОВАТЕЛЬНОЕ УЧРЕЖДЕНИЕ "СРЕДНЯЯ ШКОЛА № 64 ГОРОДСКОГО ОКРУГА МАРИУПОЛЬ" ДОНЕЦКОЙ НАРОДНОЙ РЕСПУБЛИКИ</t>
  </si>
  <si>
    <t>9310005735</t>
  </si>
  <si>
    <t>1229300142521</t>
  </si>
  <si>
    <t>287554, ДОНЕЦКАЯ НАРОДНАЯ РЕСПУБЛИКА, МАРИУПОЛЬ, Г. МАРИУПОЛЬ, Г. МАРИУПОЛЬ, УЛ. УРИЦКОГО, Д. 92А</t>
  </si>
  <si>
    <t>ГБОУ "СШ № 65 Г.О. МАРИУПОЛЬ"</t>
  </si>
  <si>
    <t>ГОСУДАРСТВЕННОЕ БЮДЖЕТНОЕ ОБЩЕОБРАЗОВАТЕЛЬНОЕ УЧРЕЖДЕНИЕ "СРЕДНЯЯ ШКОЛА № 65 ГОРОДСКОГО ОКРУГА МАРИУПОЛЬ" ДОНЕЦКОЙ НАРОДНОЙ РЕСПУБЛИКИ</t>
  </si>
  <si>
    <t>9310003400</t>
  </si>
  <si>
    <t>1229300138209</t>
  </si>
  <si>
    <t>287549, ДОНЕЦКАЯ НАРОДНАЯ РЕСПУБЛИКА, МАРИУПОЛЬ, Г. МАРИУПОЛЬ, Г. МАРИУПОЛЬ, УЛ. КАЗАНЦЕВА, Д. 25А</t>
  </si>
  <si>
    <t>ГБОУ "СШ № 7 Г.О. МАРИУПОЛЬ"</t>
  </si>
  <si>
    <t>ГОСУДАРСТВЕННОЕ БЮДЖЕТНОЕ ОБЩЕОБРАЗОВАТЕЛЬНОЕ УЧРЕЖДЕНИЕ "СРЕДНЯЯ ШКОЛА № 7 ГОРОДСКОГО ОКРУГА МАРИУПОЛЬ" ДОНЕЦКОЙ НАРОДНОЙ РЕСПУБЛИКИ</t>
  </si>
  <si>
    <t>9310002100</t>
  </si>
  <si>
    <t>1229300135173</t>
  </si>
  <si>
    <t>287537, ДОНЕЦКАЯ НАРОДНАЯ РЕСПУБЛИКА, МАРИУПОЛЬ, Г. МАРИУПОЛЬ, Г. МАРИУПОЛЬ, УЛ. ЛЕВАНЕВСКОГО, Д. 7</t>
  </si>
  <si>
    <t>ГБОУ "СШ № 9 Г. О. МАРИУПОЛЬ"</t>
  </si>
  <si>
    <t>ГОСУДАРСТВЕННОЕ БЮДЖЕТНОЕ ОБЩЕОБРАЗОВАТЕЛЬНОЕ УЧРЕЖДЕНИЕ "СРЕДНЯЯ ШКОЛА №9 ГОРОДСКОГО ОКРУГА МАРИУПОЛЬ" ДОНЕЦКОЙ НАРОДНОЙ РЕСПУБЛИКИ</t>
  </si>
  <si>
    <t>9310002847</t>
  </si>
  <si>
    <t>1229300136911</t>
  </si>
  <si>
    <t>287501, ДОНЕЦКАЯ НАРОДНАЯ РЕСПУБЛИКА, МАРИУПОЛЬ, Г. МАРИУПОЛЬ, Г. МАРИУПОЛЬ, Б-Р БОГДАНА ХМЕЛЬНИЦКОГО, Д. 22</t>
  </si>
  <si>
    <t>ГБОУ "СШ № 60 Г.О. МАРИУПОЛЬ"</t>
  </si>
  <si>
    <t>ГОСУДАРСТВЕННОЕ БЮДЖЕТНОЕ ОБЩЕОБРАЗОВАТЕЛЬНОЕ УЧРЕЖДЕНИЕ "СРЕДНЯЯ ШКОЛА № 60 ГОРОДСКОГО ОКРУГА МАРИУПОЛЬ" ДОНЕЦКОЙ НАРОДНОЙ РЕСПУБЛИКИ</t>
  </si>
  <si>
    <t>9310003079</t>
  </si>
  <si>
    <t>1229300137901</t>
  </si>
  <si>
    <t>287501, ДОНЕЦКАЯ НАРОДНАЯ РЕСПУБЛИКА, МАРИУПОЛЬ, Г. МАРИУПОЛЬ, Г. МАРИУПОЛЬ, УЛ. ЛАВИЦКОГО, Д. 7</t>
  </si>
  <si>
    <t>ГБОУ "СШ № 21 Г.О. МАРИУПОЛЬ"</t>
  </si>
  <si>
    <t>ГОСУДАРСТВЕННОЕ БЮДЖЕТНОЕ ОБЩЕОБРАЗОВАТЕЛЬНОЕ УЧРЕЖДЕНИЕ "СРЕДНЯЯ ШКОЛА № 21 ГОРОДСКОГО ОКРУГА МАРИУПОЛЬ" ДОНЕЦКОЙ НАРОДНОЙ РЕСПУБЛИКИ</t>
  </si>
  <si>
    <t>9310002660</t>
  </si>
  <si>
    <t>1229300136515</t>
  </si>
  <si>
    <t>287504, ДОНЕЦКАЯ НАРОДНАЯ РЕСПУБЛИКА, МАРИУПОЛЬ, Г. МАРИУПОЛЬ, Г. МАРИУПОЛЬ, УЛ. ОЗЕРО ХАСАН, Д. 65</t>
  </si>
  <si>
    <t>ТЕРРИТОРИАЛЬНАЯ ОРГАНИЗАЦИЯ ОБЩЕРОССИЙСКОГО ПРОФСОЮЗА ОБРАЗОВАНИЯ ГОРОДСКОГО ОКРУГА МАРИУПОЛЬ В ДОНЕЦКОЙ НАРОДНОЙ РЕСПУБЛИКЕ</t>
  </si>
  <si>
    <t>ТЕРРИТОРИАЛЬНАЯ ОРГАНИЗАЦИЯ ПРОФЕССИОНАЛЬНОГО СОЮЗА РАБОТНИКОВ НАРОДНОГО ОБРАЗОВАНИЯ И НАУКИ РОССИЙСКОЙ ФЕДЕРАЦИИ ГОРОДСКОГО ОКРУГА МАРИУПОЛЬ В ДОНЕЦКОЙ НАРОДНОЙ РЕСПУБЛИКЕ</t>
  </si>
  <si>
    <t>9310002854</t>
  </si>
  <si>
    <t>1229300136977</t>
  </si>
  <si>
    <t>287501, ДОНЕЦКАЯ НАРОДНАЯ РЕСПУБЛИКА, МАРИУПОЛЬ, Г. МАРИУПОЛЬ, Г. МАРИУПОЛЬ, ПР-КТ МЕТАЛЛУРГОВ, Д. 19</t>
  </si>
  <si>
    <t>ГКДОУ "ДЕТСКИЙ САД № 160 Г.О. МАРИУПОЛЬ" ДНР</t>
  </si>
  <si>
    <t>ГОСУДАРСТВЕННОЕ КАЗЕННОЕ ДОШКОЛЬНОЕ ОБРАЗОВАТЕЛЬНОЕ УЧРЕЖДЕНИЕ "ДЕТСКИЙ САД № 160 "РОДНИЧОК" КОМБИНИРОВАННОГО ВИДА ГОРОДСКОГО ОКРУГА МАРИУПОЛЬ" ДОНЕЦКОЙ НАРОДНОЙ РЕСПУБЛИКИ</t>
  </si>
  <si>
    <t>9310002205</t>
  </si>
  <si>
    <t>1229300135570</t>
  </si>
  <si>
    <t>287557, ДОНЕЦКАЯ НАРОДНАЯ РЕСПУБЛИКА, МАРИУПОЛЬ, Г. МАРИУПОЛЬ, Г. МАРИУПОЛЬ, УЛ. ОЛИМПИЙСКАЯ, Д. 171</t>
  </si>
  <si>
    <t>ГКДОУ "ДЕТСКИЙ САД № 163 Г.О. МАРИУПОЛЬ" ДНР</t>
  </si>
  <si>
    <t>ГОСУДАРСТВЕННОЕ КАЗЕННОЕ ДОШКОЛЬНОЕ ОБРАЗОВАТЕЛЬНОЕ УЧРЕЖДЕНИЕ "ДЕТСКИЙ САД № 163 "ЦВЕТОЧЕК" КОМБИНИРОВАННОГО ВИДА ГОРОДСКОГО ОКРУГА МАРИУПОЛЬ" ДОНЕЦКОЙ НАРОДНОЙ РЕСПУБЛИКИ</t>
  </si>
  <si>
    <t>9310002540</t>
  </si>
  <si>
    <t>1229300136207</t>
  </si>
  <si>
    <t>287549, ДОНЕЦКАЯ НАРОДНАЯ РЕСПУБЛИКА, МАРИУПОЛЬ, Г. МАРИУПОЛЬ, Г. МАРИУПОЛЬ, Б-Р ШЕВЧЕНКО, Д. 66</t>
  </si>
  <si>
    <t>ГКДОУ "ДЕТСКИЙ САД № 20 Г.О. МАРИУПОЛЬ" ДНР</t>
  </si>
  <si>
    <t>ГОСУДАРСТВЕННОЕ КАЗЕННОЕ ДОШКОЛЬНОЕ ОБРАЗОВАТЕЛЬНОЕ УЧРЕЖДЕНИЕ "ДЕТСКИЙ САД № 20 "КАЛИНКА" КОМБИНИРОВАННОГО ВИДА ГОРОДСКОГО ОКРУГА МАРИУПОЛЬ" ДОНЕЦКОЙ НАРОДНОЙ РЕСПУБЛИКИ</t>
  </si>
  <si>
    <t>9310002396</t>
  </si>
  <si>
    <t>1229300135888</t>
  </si>
  <si>
    <t>ГКДОУ "ДЕТСКИЙ САД № 21 Г.О. МАРИУПОЛЬ" ДНР</t>
  </si>
  <si>
    <t>ГОСУДАРСТВЕННОЕ КАЗЕННОЕ ДОШКОЛЬНОЕ ОБРАЗОВАТЕЛЬНОЕ УЧРЕЖДЕНИЕ "ДЕТСКИЙ САД № 21 "РАДУГА" КОМБИНИРОВАННОГО ВИДА ГОРОДСКОГО ОКРУГА МАРИУПОЛЬ" ДОНЕЦКОЙ НАРОДНОЙ РЕСПУБЛИКИ</t>
  </si>
  <si>
    <t>9310005710</t>
  </si>
  <si>
    <t>1229300142532</t>
  </si>
  <si>
    <t>287512, ДОНЕЦКАЯ НАРОДНАЯ РЕСПУБЛИКА, МАРИУПОЛЬ, Г. МАРИУПОЛЬ, Г. МАРИУПОЛЬ, УЛ. ГРАНИТНАЯ, Д. 118А</t>
  </si>
  <si>
    <t>ГКДОУ "ДЕТСКИЙ САД № 39 Г.О. МАРИУПОЛЬ" ДНР</t>
  </si>
  <si>
    <t>ГОСУДАРСТВЕННОЕ КАЗЕННОЕ ДОШКОЛЬНОЕ ОБРАЗОВАТЕЛЬНОЕ УЧРЕЖДЕНИЕ "ДЕТСКИЙ САД № 39 "КАПИТОШКА" КОМБИНИРОВАННОГО ВИДА ГОРОДСКОГО ОКРУГА МАРИУПОЛЬ" ДОНЕЦКОЙ НАРОДНОЙ РЕСПУБЛИКИ</t>
  </si>
  <si>
    <t>9310000952</t>
  </si>
  <si>
    <t>1229300132115</t>
  </si>
  <si>
    <t>287504, ДОНЕЦКАЯ НАРОДНАЯ РЕСПУБЛИКА, МАРИУПОЛЬ, Г. МАРИУПОЛЬ, Г. МАРИУПОЛЬ, УЛ. БРЕСТСКАЯ, Д. 38</t>
  </si>
  <si>
    <t>ГБОУ "СШ № 14 Г.О. МАРИУПОЛЬ"</t>
  </si>
  <si>
    <t>ГОСУДАРСТВЕННОЕ БЮДЖЕТНОЕ ОБЩЕОБРАЗОВАТЕЛЬНОЕ УЧРЕЖДЕНИЕ "СРЕДНЯЯ ШКОЛА № 14 ГОРОДСКОГО ОКРУГА МАРИУПОЛЬ" ДОНЕЦКОЙ НАРОДНОЙ РЕСПУБЛИКИ</t>
  </si>
  <si>
    <t>9310001843</t>
  </si>
  <si>
    <t>1229300134030</t>
  </si>
  <si>
    <t>287526, ДОНЕЦКАЯ НАРОДНАЯ РЕСПУБЛИКА, МАРИУПОЛЬ, Г. МАРИУПОЛЬ, Г. МАРИУПОЛЬ, УЛ. ПАШКОВСКОГО, Д. 62А</t>
  </si>
  <si>
    <t>ГБОУ "СШ № 15 Г.О. МАРИУПОЛЬ"</t>
  </si>
  <si>
    <t>ГОСУДАРСТВЕННОЕ БЮДЖЕТНОЕ ОБЩЕОБРАЗОВАТЕЛЬНОЕ УЧРЕЖДЕНИЕ "СРЕДНЯЯ ШКОЛА № 15 ГОРОДСКОГО ОКРУГА МАРИУПОЛЬ" ДОНЕЦКОЙ НАРОДНОЙ РЕСПУБЛИКИ</t>
  </si>
  <si>
    <t>9310002678</t>
  </si>
  <si>
    <t>1229300136570</t>
  </si>
  <si>
    <t>287521, ДОНЕЦКАЯ НАРОДНАЯ РЕСПУБЛИКА, МАРИУПОЛЬ, Г. МАРИУПОЛЬ, Г. МАРИУПОЛЬ, УЛ. НОВОРОССИЙСКАЯ, Д. 12</t>
  </si>
  <si>
    <t>ГБОУ "СШ № 26 Г.О. МАРИУПОЛЬ"</t>
  </si>
  <si>
    <t>ГОСУДАРСТВЕННОЕ БЮДЖЕТНОЕ ОБЩЕОБРАЗОВАТЕЛЬНОЕ УЧРЕЖДЕНИЕ "СРЕДНЯЯ ШКОЛА № 26 ГОРОДСКОГО ОКРУГА МАРИУПОЛЬ" ДОНЕЦКОЙ НАРОДНОЙ РЕСПУБЛИКИ</t>
  </si>
  <si>
    <t>9310002332</t>
  </si>
  <si>
    <t>1229300135790</t>
  </si>
  <si>
    <t>287510, ДОНЕЦКАЯ НАРОДНАЯ РЕСПУБЛИКА, МАРИУПОЛЬ, Г. МАРИУПОЛЬ, Г. МАРИУПОЛЬ, УЛ. ЧЕРНОМОРСКАЯ, Д. 12</t>
  </si>
  <si>
    <t>ГБОУ "СШ № 27 Г.О. МАРИУПОЛЬ"</t>
  </si>
  <si>
    <t>ГОСУДАРСТВЕННОЕ БЮДЖЕТНОЕ ОБЩЕОБРАЗОВАТЕЛЬНОЕ УЧРЕЖДЕНИЕ "СРЕДНЯЯ ШКОЛА № 27 ГОРОДСКОГО ОКРУГА МАРИУПОЛЬ" ДОНЕЦКОЙ НАРОДНОЙ РЕСПУБЛИКИ</t>
  </si>
  <si>
    <t>9310001995</t>
  </si>
  <si>
    <t>1229300134865</t>
  </si>
  <si>
    <t>287512, ДОНЕЦКАЯ НАРОДНАЯ РЕСПУБЛИКА, МАРИУПОЛЬ, Г. МАРИУПОЛЬ, Г. МАРИУПОЛЬ, УЛ. 50 ЛЕТ СССР, Д. 56</t>
  </si>
  <si>
    <t>ГБУ "ПСО Г. МАРИУПОЛЬ МЧС ДНР"</t>
  </si>
  <si>
    <t>ГОСУДАРСТВЕННОЕ БЮДЖЕТНОЕ УЧРЕЖДЕНИЕ "ПОЖАРНО-СПАСАТЕЛЬНЫЙ ОТРЯД Г. МАРИУПОЛЬ МИНИСТЕРСТВА ПО ДЕЛАМ ГРАЖДАНСКОЙ ОБОРОНЫ, ЧРЕЗВЫЧАЙНЫМ СИТУАЦИЯМ И ЛИКВИДАЦИИ ПОСЛЕДСТВИЙ СТИХИЙНЫХ БЕДСТВИЙ ДОНЕЦКОЙ НАРОДНОЙ РЕСПУБЛИКИ"</t>
  </si>
  <si>
    <t>9310000247</t>
  </si>
  <si>
    <t>1229300128661</t>
  </si>
  <si>
    <t>287537, ДОНЕЦКАЯ НАРОДНАЯ РЕСПУБЛИКА, МАРИУПОЛЬ, Г. МАРИУПОЛЬ, Г. МАРИУПОЛЬ, УЛ. КАРЛА ЛИБКНЕХТА, Д. 175</t>
  </si>
  <si>
    <t>СНТ "ДУБОК МАРИУПОЛЬ"</t>
  </si>
  <si>
    <t>САДОВОДЧЕСКОЕ НЕКОММЕРЧЕСКОЕ ТОВАРИЩЕСТВО "ДУБОК МАРИУПОЛЬ"</t>
  </si>
  <si>
    <t>9310003417</t>
  </si>
  <si>
    <t>1229300138418</t>
  </si>
  <si>
    <t>ДОНЕЦКАЯ НАРОДНАЯ РЕСПУБЛИКА, МАРИУПОЛЬ, Г. МАРИУПОЛЬ, Г. МАРИУПОЛЬ, ПР-КТ ТУЛЬСКИЙ, Д. 59, КВ. 9</t>
  </si>
  <si>
    <t>ООО "ВТМ-МАРИУПОЛЬ"</t>
  </si>
  <si>
    <t>ОБЩЕСТВО С ОГРАНИЧЕННОЙ ОТВЕТСТВЕННОСТЬЮ "ВТОРМЕТАЛЛ-МАРИУПОЛЬ"</t>
  </si>
  <si>
    <t>9310007718</t>
  </si>
  <si>
    <t>1239300004789</t>
  </si>
  <si>
    <t>287510, ДОНЕЦКАЯ НАРОДНАЯ РЕСПУБЛИКА, МАРИУПОЛЬ, Г. МАРИУПОЛЬ, Г. МАРИУПОЛЬ, УЛ. КРАСНОФЛОТСКАЯ, Д. 182</t>
  </si>
  <si>
    <t>ООО "МЕГА ПЛАСТ МАРИУПОЛЬ"</t>
  </si>
  <si>
    <t>ОБЩЕСТВО С ОГРАНИЧЕННОЙ ОТВЕТСТВЕННОСТЬЮ "МЕГА ПЛАСТ МАРИУПОЛЬ"</t>
  </si>
  <si>
    <t>9310008239</t>
  </si>
  <si>
    <t>1239300006109</t>
  </si>
  <si>
    <t>287524, ДОНЕЦКАЯ НАРОДНАЯ РЕСПУБЛИКА, МАРИУПОЛЬ, Г. МАРИУПОЛЬ, Г. МАРИУПОЛЬ, УЛ. МОНТАЖНАЯ, Д. 5</t>
  </si>
  <si>
    <t>ГБОУ "СШ № 19 Г.О. МАРИУПОЛЬ".</t>
  </si>
  <si>
    <t>ГОСУДАРСТВЕННОЕ БЮДЖЕТНОЕ ОБЩЕОБРАЗОВАТЕЛЬНОЕ УЧРЕЖДЕНИЕ "СРЕДНЯЯ ШКОЛА № 19 ГОРОДСКОГО ОКРУГА МАРИУПОЛЬ" ДОНЕЦКОЙ НАРОДНОЙ РЕСПУБЛИКИ</t>
  </si>
  <si>
    <t>9310009994</t>
  </si>
  <si>
    <t>1239300010950</t>
  </si>
  <si>
    <t>ДОНЕЦКАЯ НАРОДНАЯ РЕСПУБЛИКА, МАРИУПОЛЬ, Г. МАРИУПОЛЬ, Г. МАРИУПОЛЬ, УЛ. ПЕРВОМАЙСКАЯ, Д. 68</t>
  </si>
  <si>
    <t>ГКДОУ "ДЕТСКИЙ САД № 125 Г.О. МАРИУПОЛЬ" ДНР</t>
  </si>
  <si>
    <t>ГОСУДАРСТВЕННОЕ КАЗЕННОЕ ДОШКОЛЬНОЕ ОБРАЗОВАТЕЛЬНОЕ УЧРЕЖДЕНИЕ "ДЕТСКИЙ САД № 125 "АЛЕНЬКИЙ ЦВЕТОЧЕК" КОМБИНИРОВАННОГО ВИДА ГОРОДСКОГО ОКРУГА МАРИУПОЛЬ" ДОНЕЦКОЙ НАРОДНОЙ РЕСПУБЛИКИ</t>
  </si>
  <si>
    <t>9310009708</t>
  </si>
  <si>
    <t>1239300010070</t>
  </si>
  <si>
    <t>287537, ДОНЕЦКАЯ НАРОДНАЯ РЕСПУБЛИКА, МАРИУПОЛЬ, Г. МАРИУПОЛЬ, Г. МАРИУПОЛЬ, ПР-КТ СТРОИТЕЛЕЙ, Д. 102</t>
  </si>
  <si>
    <t>ФФ Г. МАРИУПОЛЬ</t>
  </si>
  <si>
    <t>МЕСТНАЯ ОБЩЕСТВЕННАЯ ОРГАНИЗАЦИЯ "ФЕДЕРАЦИЯ ФУТБОЛА ГОРОД МАРИУПОЛЬ"</t>
  </si>
  <si>
    <t>9310010566</t>
  </si>
  <si>
    <t>1239300013039</t>
  </si>
  <si>
    <t>ДОНЕЦКАЯ НАРОДНАЯ РЕСПУБЛИКА, МАРИУПОЛЬ, Г. МАРИУПОЛЬ, Г. МАРИУПОЛЬ, УЛ. ЗЕМСКАЯ, Д. 66</t>
  </si>
  <si>
    <t>АДМИНИСТРАЦИЯ ГОРОДСКОГО ОКРУГА МАРИУПОЛЬ</t>
  </si>
  <si>
    <t>АДМИНИСТРАЦИЯ ГОРОДСКОГО ОКРУГА МАРИУПОЛЬ ДОНЕЦКОЙ НАРОДНОЙ РЕСПУБЛИКИ</t>
  </si>
  <si>
    <t>9310011256</t>
  </si>
  <si>
    <t>1239300016713</t>
  </si>
  <si>
    <t>МЕСТНАЯ РЕЛИГИОЗНАЯ ОРГАНИЗАЦИЯ ЕВАНГЕЛЬСКИХ ХРИСТИАН-БАПТИСТОВ "ЦЕРКОВЬ ХРИСТА СПАСИТЕЛЯ" ГОРОД МАРИУПОЛЬ</t>
  </si>
  <si>
    <t>9310011062</t>
  </si>
  <si>
    <t>1239300015503</t>
  </si>
  <si>
    <t>287541, ДОНЕЦКАЯ НАРОДНАЯ РЕСПУБЛИКА, МАРИУПОЛЬ, Г. МАРИУПОЛЬ, Г. МАРИУПОЛЬ, Б-Р КОМСОМОЛЬСКИЙ, Д. 11</t>
  </si>
  <si>
    <t>МЕСТНАЯ РЕЛИГИОЗНАЯ ОРГАНИЗАЦИЯ ЦЕРКОВЬ ЕВАНГЕЛЬСКИХ ХРИСТИАН-БАПТИСТОВ "ЦЕНТРАЛЬНАЯ" ГОРОД МАРИУПОЛЬ</t>
  </si>
  <si>
    <t>9310011305</t>
  </si>
  <si>
    <t>1239300016878</t>
  </si>
  <si>
    <t>ДОНЕЦКАЯ НАРОДНАЯ РЕСПУБЛИКА, МАРИУПОЛЬ, Г. МАРИУПОЛЬ, Г. МАРИУПОЛЬ, УЛ. КАРАСЕВСКАЯ, Д. 22</t>
  </si>
  <si>
    <t>ООО "МАРИУПОЛЬ-ЭКСПРЕСС"</t>
  </si>
  <si>
    <t>ОБЩЕСТВО С ОГРАНИЧЕННОЙ ОТВЕТСТВЕННОСТЬЮ "МАРИУПОЛЬ-ЭКСПРЕСС"</t>
  </si>
  <si>
    <t>9310010943</t>
  </si>
  <si>
    <t>1239300014887</t>
  </si>
  <si>
    <t>ДОНЕЦКАЯ НАРОДНАЯ РЕСПУБЛИКА, МАРИУПОЛЬ, Г. МАРИУПОЛЬ, Г. МАРИУПОЛЬ, УЛ. МАКАРА МАЗАЯ, Д. 8А</t>
  </si>
  <si>
    <t>МЕСТНАЯ РЕЛИГИОЗНАЯ ОРГАНИЗАЦИЯ ЦЕРКОВЬ ЕВАНГЕЛЬСКИХ ХРИСТИАН-БАПТИСТОВ "ВИФАНИЯ" ГОРОД МАРИУПОЛЬ</t>
  </si>
  <si>
    <t>9310011672</t>
  </si>
  <si>
    <t>1239300019530</t>
  </si>
  <si>
    <t>ГКДОУ "ДЕТСКИЙ САД № 156 Г.О. МАРИУПОЛЬ" ДНР</t>
  </si>
  <si>
    <t>ГОСУДАРСТВЕННОЕ КАЗЕННОЕ ДОШКОЛЬНОЕ ОБРАЗОВАТЕЛЬНОЕ УЧРЕЖДЕНИЕ "ДЕТСКИЙ САД № 156 "ДЕЛЬФИНЁНОК" КОМБИНИРОВАННОГО ВИДА ГОРОДСКОГО ОКРУГА МАРИУПОЛЬ" ДОНЕЦКОЙ НАРОДНОЙ РЕСПУБЛИКИ</t>
  </si>
  <si>
    <t>9310011440</t>
  </si>
  <si>
    <t>1239300018154</t>
  </si>
  <si>
    <t>287549, ДОНЕЦКАЯ НАРОДНАЯ РЕСПУБЛИКА, МАРИУПОЛЬ, Г. МАРИУПОЛЬ, Г. МАРИУПОЛЬ, Б-Р ШЕВЧЕНКО, Д. 337</t>
  </si>
  <si>
    <t>ГБОУ " СШ № 68 Г.О. МАРИУПОЛЬ"</t>
  </si>
  <si>
    <t>ГОСУДАРСТВЕННОЕ БЮДЖЕТНОЕ ОБЩЕОБРАЗОВАТЕЛЬНОЕ УЧРЕЖДЕНИЕ "СРЕДНЯЯ ШКОЛА № 68 ГОРОДСКОГО ОКРУГА МАРИУПОЛЬ" ДОНЕЦКОЙ НАРОДНОЙ РЕСПУБЛИКИ</t>
  </si>
  <si>
    <t>9310011538</t>
  </si>
  <si>
    <t>1239300018803</t>
  </si>
  <si>
    <t>ДОНЕЦКАЯ НАРОДНАЯ РЕСПУБЛИКА, МАРИУПОЛЬ, Г. МАРИУПОЛЬ, Г. МАРИУПОЛЬ, УЛ. ОЛИМПИЙСКАЯ, Д. 199</t>
  </si>
  <si>
    <t>ГБОУ "СШ № 39 Г.О. МАРИУПОЛЬ"</t>
  </si>
  <si>
    <t>ГОСУДАРСТВЕННОЕ БЮДЖЕТНОЕ ОБЩЕОБРАЗОВАТЕЛЬНОЕ УЧРЕЖДЕНИЕ "СРЕДНЯЯ ШКОЛА № 39 ГОРОДСКОГО ОКРУГА МАРИУПОЛЬ" ДОНЕЦКОЙ НАРОДНОЙ РЕСПУБЛИКИ</t>
  </si>
  <si>
    <t>9310012242</t>
  </si>
  <si>
    <t>1249300003193</t>
  </si>
  <si>
    <t>ООО "МАРИУПОЛЬ-2024"</t>
  </si>
  <si>
    <t>ОБЩЕСТВО С ОГРАНИЧЕННОЙ ОТВЕТСТВЕННОСТЬЮ "МАРИУПОЛЬ-2024"</t>
  </si>
  <si>
    <t>9310012073</t>
  </si>
  <si>
    <t>1249300002050</t>
  </si>
  <si>
    <t>287504, ДОНЕЦКАЯ НАРОДНАЯ РЕСПУБЛИКА, МАРИУПОЛЬ, Г. МАРИУПОЛЬ, Г. МАРИУПОЛЬ, ПР-КТ ИЛЬИЧА, Д. 24, ПОМЕЩ. 1</t>
  </si>
  <si>
    <t>ОТДЕЛ ФИЗИЧЕСКОЙ КУЛЬТУРЫ, СПОРТА И ТУРИЗМА АДМИНИСТРАЦИИ ГОРОДСКОГО ОКРУГА МАРИУПОЛЬ</t>
  </si>
  <si>
    <t>ОТДЕЛ ФИЗИЧЕСКОЙ КУЛЬТУРЫ, СПОРТА И ТУРИЗМА АДМИНИСТРАЦИИ ГОРОДСКОГО ОКРУГА МАРИУПОЛЬ ДОНЕЦКОЙ НАРОДНОЙ РЕСПУБЛИКИ</t>
  </si>
  <si>
    <t>9310011915</t>
  </si>
  <si>
    <t>1249300000510</t>
  </si>
  <si>
    <t>287501, ДОНЕЦКАЯ НАРОДНАЯ РЕСПУБЛИКА, МАРИУПОЛЬ, Г. МАРИУПОЛЬ, Г. МАРИУПОЛЬ, УЛ. ЭНГЕЛЬСА, Д. 35А</t>
  </si>
  <si>
    <t>УПРАВЛЕНИЕ ИЗО АДМИНИСТРАЦИИ ГОРОДСКОГО ОКРУГА МАРИУПОЛЬ</t>
  </si>
  <si>
    <t>УПРАВЛЕНИЕ ИМУЩЕСТВЕННЫХ И ЗЕМЕЛЬНЫХ ОТНОШЕНИЙ АДМИНИСТРАЦИИ ГОРОДСКОГО ОКРУГА МАРИУПОЛЬ ДОНЕЦКОЙ НАРОДНОЙ РЕСПУБЛИКИ</t>
  </si>
  <si>
    <t>9310011873</t>
  </si>
  <si>
    <t>1249300000400</t>
  </si>
  <si>
    <t>ДКС АДМИНИСТРАЦИИ ГОРОДСКОГО ОКРУГА МАРИУПОЛЬ</t>
  </si>
  <si>
    <t>ДЕПАРТАМЕНТ КАПИТАЛЬНОГО СТРОИТЕЛЬСТВА АДМИНИСТРАЦИИ ГОРОДСКОГО ОКРУГА МАРИУПОЛЬ ДОНЕЦКОЙ НАРОДНОЙ РЕСПУБЛИКИ</t>
  </si>
  <si>
    <t>9310011866</t>
  </si>
  <si>
    <t>1249300000290</t>
  </si>
  <si>
    <t>ДОНЕЦКАЯ НАРОДНАЯ РЕСПУБЛИКА, МАРИУПОЛЬ, Г. МАРИУПОЛЬ, Г. МАРИУПОЛЬ, УЛ. АРТЁМА, Д. 92</t>
  </si>
  <si>
    <t>УПРАВЛЕНИЕ ОБРАЗОВАНИЯ МУНИЦИПАЛЬНОГО ОБРАЗОВАНИЯ ГОРОДСКОЙ ОКРУГ МАРИУПОЛЬ</t>
  </si>
  <si>
    <t>УПРАВЛЕНИЕ ОБРАЗОВАНИЯ МУНИЦИПАЛЬНОГО ОБРАЗОВАНИЯ ГОРОДСКОЙ ОКРУГ МАРИУПОЛЬ ДОНЕЦКОЙ НАРОДНОЙ РЕСПУБЛИКИ</t>
  </si>
  <si>
    <t>9310011898</t>
  </si>
  <si>
    <t>1249300000454</t>
  </si>
  <si>
    <t>287549, ДОНЕЦКАЯ НАРОДНАЯ РЕСПУБЛИКА, МАРИУПОЛЬ, Г. МАРИУПОЛЬ, Г. МАРИУПОЛЬ, ПР-КТ МЕТАЛЛУРГОВ, Д. 84Б</t>
  </si>
  <si>
    <t>УФ АДМИНИСТРАЦИИ ГОРОДСКОГО ОКРУГА МАРИУПОЛЬ</t>
  </si>
  <si>
    <t>УПРАВЛЕНИЕ ФИНАНСОВ АДМИНИСТРАЦИИ ГОРОДСКОГО ОКРУГА МАРИУПОЛЬ ДОНЕЦКОЙ НАРОДНОЙ РЕСПУБЛИКИ</t>
  </si>
  <si>
    <t>9310011802</t>
  </si>
  <si>
    <t>1239300020410</t>
  </si>
  <si>
    <t>287549, ДОНЕЦКАЯ НАРОДНАЯ РЕСПУБЛИКА, МАРИУПОЛЬ, Г. МАРИУПОЛЬ, Г. МАРИУПОЛЬ, УЛ. КАЗАНЦЕВА, Д. 33</t>
  </si>
  <si>
    <t>МЕСТНАЯ РЕЛИГИОЗНАЯ ОРГАНИЗАЦИЯ ЦЕРКОВЬ ХРИСТИАН ВЕРЫ ЕВАНГЕЛЬСКОЙ ПЯТИДЕСЯТНИКОВ "СВЕТ МИРА" Г. МАРИУПОЛЬ</t>
  </si>
  <si>
    <t>9310013415</t>
  </si>
  <si>
    <t>1249300007296</t>
  </si>
  <si>
    <t>287524, ДОНЕЦКАЯ НАРОДНАЯ РЕСПУБЛИКА, МАРИУПОЛЬ, Г. МАРИУПОЛЬ, Г. МАРИУПОЛЬ, УЛ. СЕЧЕНОВА, Д. 56</t>
  </si>
  <si>
    <t>МЕСТНОЕ ОТДЕЛЕНИЕ ДОСААФ РОССИИ ГОРОДСКОГО ОКРУГА МАРИУПОЛЬ ДНР</t>
  </si>
  <si>
    <t>МЕСТНОЕ ОТДЕЛЕНИЕ ОБЩЕРОССИЙСКОЙ ОБЩЕСТВЕННО-ГОСУДАРСТВЕННОЙ ОРГАНИЗАЦИИ "ДОБРОВОЛЬНОЕ ОБЩЕСТВО СОДЕЙСТВИЯ АРМИИ, АВИАЦИИ И ФЛОТУ РОССИИ" ГОРОДСКОГО ОКРУГА МАРИУПОЛЬ ДОНЕЦКОЙ НАРОДНОЙ РЕСПУБЛИКИ</t>
  </si>
  <si>
    <t>9310013782</t>
  </si>
  <si>
    <t>1249300008726</t>
  </si>
  <si>
    <t>287501, ДОНЕЦКАЯ НАРОДНАЯ РЕСПУБЛИКА, МАРИУПОЛЬ, Г. МАРИУПОЛЬ, Г. МАРИУПОЛЬ, ПР-КТ ЛЕНИНА, Д. 1</t>
  </si>
  <si>
    <t>ОТДЕЛ КУЛЬТУРЫ АДМИНИСТРАЦИИ ГОРОДСКОГО ОКРУГА МАРИУПОЛЬ</t>
  </si>
  <si>
    <t>ОТДЕЛ КУЛЬТУРЫ АДМИНИСТРАЦИИ ГОРОДСКОГО ОКРУГА МАРИУПОЛЬ ДОНЕЦКОЙ НАРОДНОЙ РЕСПУБЛИКИ</t>
  </si>
  <si>
    <t>9310011859</t>
  </si>
  <si>
    <t>1249300000223</t>
  </si>
  <si>
    <t>МЕСТНАЯ РЕЛИГИОЗНАЯ ОРГАНИЗАЦИЯ ЦЕРКОВЬ ХРИСТИАН АДВЕНТИСТОВ СЕДЬМОГО ДНЯ Г. МАРИУПОЛЬ</t>
  </si>
  <si>
    <t>9310014810</t>
  </si>
  <si>
    <t>1249300011971</t>
  </si>
  <si>
    <t>287549, ДОНЕЦКАЯ НАРОДНАЯ РЕСПУБЛИКА, МАРИУПОЛЬ, Г. МАРИУПОЛЬ, Г. МАРИУПОЛЬ, Б-Р ШЕВЧЕНКО, Д. 254</t>
  </si>
  <si>
    <t>ГКДОУ "ДЕТСКИЙ САД № 106 Г.О. МАРИУПОЛЬ" ДНР</t>
  </si>
  <si>
    <t>ГОСУДАРСТВЕННОЕ КАЗЕННОЕ ДОШКОЛЬНОЕ ОБРАЗОВАТЕЛЬНОЕ УЧРЕЖДЕНИЕ "ДЕТСКИЙ САД № 106 "ИВУШКА" КОМБИНИРОВАННОГО ВИДА ГОРОДСКОГО ОКРУГА МАРИУПОЛЬ" ДОНЕЦКОЙ НАРОДНОЙ РЕСПУБЛИКИ</t>
  </si>
  <si>
    <t>9310014786</t>
  </si>
  <si>
    <t>1249300011905</t>
  </si>
  <si>
    <t>ДОНЕЦКАЯ НАРОДНАЯ РЕСПУБЛИКА, МАРИУПОЛЬ, Г. МАРИУПОЛЬ, Г. МАРИУПОЛЬ, УЛ. КУПРИНА, Д. 25А</t>
  </si>
  <si>
    <t>ГКДОУ "ДЕТСКИЙ САД № 63 Г.О. МАРИУПОЛЬ" ДНР</t>
  </si>
  <si>
    <t>ГОСУДАРСТВЕННОЕ КАЗЕННОЕ ДОШКОЛЬНОЕ ОБРАЗОВАТЕЛЬНОЕ УЧРЕЖДЕНИЕ "ДЕТСКИЙ САД № 63 "ЯКОРЕК" КОМБИНИРОВАННОГО ВИДА ГОРОДСКОГО ОКРУГА МАРИУПОЛЬ" ДОНЕЦКОЙ НАРОДНОЙ РЕСПУБЛИКИ</t>
  </si>
  <si>
    <t>9310014779</t>
  </si>
  <si>
    <t>1249300011894</t>
  </si>
  <si>
    <t>ДОНЕЦКАЯ НАРОДНАЯ РЕСПУБЛИКА, МАРИУПОЛЬ, Г. МАРИУПОЛЬ, Г. МАРИУПОЛЬ, ПР-КТ СТРОИТЕЛЕЙ, Д. 43</t>
  </si>
  <si>
    <t>ГКДОУ "ДЕТСКИЙ САД № 83 Г.О. МАРИУПОЛЬ" ДНР</t>
  </si>
  <si>
    <t>ГОСУДАРСТВЕННОЕ КАЗЕННОЕ ДОШКОЛЬНОЕ ОБРАЗОВАТЕЛЬНОЕ УЧРЕЖДЕНИЕ "ДЕТСКИЙ САД № 83 "КРАСНАЯ ШАПОЧКА" КОМБИНИРОВАННОГО ВИДА ГОРОДСКОГО ОКРУГА МАРИУПОЛЬ" ДОНЕЦКОЙ НАРОДНОЙ РЕСПУБЛИКИ</t>
  </si>
  <si>
    <t>9310014930</t>
  </si>
  <si>
    <t>1249300012290</t>
  </si>
  <si>
    <t>ДОНЕЦКАЯ НАРОДНАЯ РЕСПУБЛИКА, МАРИУПОЛЬ, Г. МАРИУПОЛЬ, Г. МАРИУПОЛЬ, ПР-КТ ЛЕНИНА, Д. 84А</t>
  </si>
  <si>
    <t>МЕСТНАЯ РЕЛИГИОЗНАЯ ОРГАНИЗАЦИЯ ХРИСТИАН ВЕРЫ ЕВАНГЕЛЬСКОЙ ГОРОДА МАРИУПОЛЬ "БЛАГАЯ ВЕСТЬ"</t>
  </si>
  <si>
    <t>9310015437</t>
  </si>
  <si>
    <t>1249300013962</t>
  </si>
  <si>
    <t>ДОНЕЦКАЯ НАРОДНАЯ РЕСПУБЛИКА, МАРИУПОЛЬ, Г. МАРИУПОЛЬ, Г. МАРИУПОЛЬ, УЛ. РАВНИННАЯ, Д. 19, ПОМЕЩ. 7</t>
  </si>
  <si>
    <t>ГБОУ "СШ №28 Г.О.МАРИУПОЛЬ"</t>
  </si>
  <si>
    <t>ГОСУДАРСТВЕННОЕ БЮДЖЕТНОЕ ОБЩЕОБРАЗОВАТЕЛЬНОЕ УЧРЕЖДЕНИЕ "СРЕДНЯЯ ШКОЛА №28 ГОРОДСКОГО ОКРУГА МАРИУПОЛЬ" ДОНЕЦКОЙ НАРОДНОЙ РЕСПУБЛИКИ</t>
  </si>
  <si>
    <t>9310015074</t>
  </si>
  <si>
    <t>1249300012939</t>
  </si>
  <si>
    <t>ДОНЕЦКАЯ НАРОДНАЯ РЕСПУБЛИКА, МАРИУПОЛЬ, Г. МАРИУПОЛЬ, Г. МАРИУПОЛЬ, УЛ. ГОНДЫ, Д. 6</t>
  </si>
  <si>
    <t>ООО "СЗ "МОЙ МАРИУПОЛЬ"</t>
  </si>
  <si>
    <t>ОБЩЕСТВО С ОГРАНИЧЕННОЙ ОТВЕТСТВЕННОСТЬЮ "СПЕЦИАЛИЗИРОВАННЫЙ ЗАСТРОЙЩИК "МОЙ МАРИУПОЛЬ"</t>
  </si>
  <si>
    <t>9310015518</t>
  </si>
  <si>
    <t>1249300014160</t>
  </si>
  <si>
    <t>ДОНЕЦКАЯ НАРОДНАЯ РЕСПУБЛИКА, МАРИУПОЛЬ, Г. МАРИУПОЛЬ, Г. МАРИУПОЛЬ, ПР-КТ НАХИМОВА, Д. 204, ПОМЕЩ. 1</t>
  </si>
  <si>
    <t>МОО "ФБ Г.МАРИУПОЛЬ"</t>
  </si>
  <si>
    <t>МЕСТНАЯ ОБЩЕСТВЕННАЯ ОРГАНИЗАЦИЯ "ФЕДЕРАЦИЯ БАСКЕТБОЛА ГОРОД МАРИУПОЛЬ"</t>
  </si>
  <si>
    <t>9310016198</t>
  </si>
  <si>
    <t>1249300016613</t>
  </si>
  <si>
    <t>287541, ДОНЕЦКАЯ НАРОДНАЯ РЕСПУБЛИКА, МАРИУПОЛЬ, Г. МАРИУПОЛЬ, Г. МАРИУПОЛЬ, УЛ. ВОЛГОГРАДСКАЯ, Д. 1</t>
  </si>
  <si>
    <t>МЕСТНАЯ РЕЛИГИОЗНАЯ ОРГАНИЗАЦИЯ ЦЕРКОВЬ ЕВАНГЕЛЬСКИХ ХРИСТИАН-БАПТИСТОВ "БЛАГОДАТЬ" ГОРОД МАРИУПОЛЬ</t>
  </si>
  <si>
    <t>9310016230</t>
  </si>
  <si>
    <t>1249300016888</t>
  </si>
  <si>
    <t>ДОНЕЦКАЯ НАРОДНАЯ РЕСПУБЛИКА, МАРИУПОЛЬ, Г. МАРИУПОЛЬ, Г. МАРИУПОЛЬ, УЛ. КОТОВСКОГО, Д. 12</t>
  </si>
  <si>
    <t>УПТИС АДМИНИСТРАЦИИ ГОРОДСКОГО ОКРУГА МАРИУПОЛЬ</t>
  </si>
  <si>
    <t>УПРАВЛЕНИЕ ПРОМЫШЛЕННОСТИ, ТРАНСПОРТА И СВЯЗИ АДМИНИСТРАЦИИ ГОРОДСКОГО ОКРУГА МАРИУПОЛЬ ДОНЕЦКОЙ НАРОДНОЙ РЕСПУБЛИКИ</t>
  </si>
  <si>
    <t>9310011922</t>
  </si>
  <si>
    <t>1249300000630</t>
  </si>
  <si>
    <t>287501, ДОНЕЦКАЯ НАРОДНАЯ РЕСПУБЛИКА, МАРИУПОЛЬ, Г. МАРИУПОЛЬ, Г. МАРИУПОЛЬ, ПР-КТ ЛЕНИНА, Д. 83А</t>
  </si>
  <si>
    <t>ООО "МАРИУПОЛЬ МЕХ МАШ"</t>
  </si>
  <si>
    <t>ОБЩЕСТВО С ОГРАНИЧЕННОЙ ОТВЕТСТВЕННОСТЬЮ "МАРИУПОЛЬ МЕХ МАШ"</t>
  </si>
  <si>
    <t>9310016550</t>
  </si>
  <si>
    <t>1249300017834</t>
  </si>
  <si>
    <t>287541, ДОНЕЦКАЯ НАРОДНАЯ РЕСПУБЛИКА, МАРИУПОЛЬ, Г. МАРИУПОЛЬ, Г. МАРИУПОЛЬ, УЛ. СТАНИСЛАВСКОГО, Д. 5</t>
  </si>
  <si>
    <t>ООО "МАРИУПОЛЬ"</t>
  </si>
  <si>
    <t>ОБЩЕСТВО С ОГРАНИЧЕННОЙ ОТВЕТСТВЕННОСТЬЮ "МАРИУПОЛЬ"</t>
  </si>
  <si>
    <t>9310016504</t>
  </si>
  <si>
    <t>1249300017669</t>
  </si>
  <si>
    <t>287554, ДОНЕЦКАЯ НАРОДНАЯ РЕСПУБЛИКА, МАРИУПОЛЬ, Г. МАРИУПОЛЬ, Г. МАРИУПОЛЬ, ПР-КТ СТРОИТЕЛЕЙ, Д. 154</t>
  </si>
  <si>
    <t>ООО "ПАБ "СТАРЫЙ МАРИУПОЛЬ"</t>
  </si>
  <si>
    <t>ОБЩЕСТВО С ОГРАНИЧЕННОЙ ОТВЕТСТВЕННОСТЬЮ "ПАБ "СТАРЫЙ МАРИУПОЛЬ"</t>
  </si>
  <si>
    <t>9310016688</t>
  </si>
  <si>
    <t>1249300018318</t>
  </si>
  <si>
    <t>287501, ДОНЕЦКАЯ НАРОДНАЯ РЕСПУБЛИКА, МАРИУПОЛЬ, Г. МАРИУПОЛЬ, Г. МАРИУПОЛЬ, ПЕР. НАХИМОВА, Д. 3, КВ. 30</t>
  </si>
  <si>
    <t>УЖКХ АДМИНИСТРАЦИИ ГОРОДСКОГО ОКРУГА МАРИУПОЛЬ</t>
  </si>
  <si>
    <t>УПРАВЛЕНИЕ ЖИЛИЩНО-КОММУНАЛЬНОГО ХОЗЯЙСТВА АДМИНИСТРАЦИИ ГОРОДСКОГО ОКРУГА МАРИУПОЛЬ ДОНЕЦКОЙ НАРОДНОЙ РЕСПУБЛИКИ</t>
  </si>
  <si>
    <t>9310011880</t>
  </si>
  <si>
    <t>1249300000432</t>
  </si>
  <si>
    <t>287549, ДОНЕЦКАЯ НАРОДНАЯ РЕСПУБЛИКА, МАРИУПОЛЬ, Г. МАРИУПОЛЬ, Г. МАРИУПОЛЬ, Б-Р ШЕВЧЕНКО, Д. 301Б</t>
  </si>
  <si>
    <t>ТСН "ПРИМОРЬЕ-МАРИУПОЛЬ"</t>
  </si>
  <si>
    <t>ТОВАРИЩЕСТВО СОБСТВЕННИКОВ НЕДВИЖИМОСТИ "ПРИМОРЬЕ-МАРИУПОЛЬ"</t>
  </si>
  <si>
    <t>9310017297</t>
  </si>
  <si>
    <t>1249300020760</t>
  </si>
  <si>
    <t>ДОНЕЦКАЯ НАРОДНАЯ РЕСПУБЛИКА, МАРИУПОЛЬ, Г. МАРИУПОЛЬ, Г. МАРИУПОЛЬ, ПЕР. СОЦИАЛЬНЫЙ, Д. 20</t>
  </si>
  <si>
    <t>ООО "МАРИУПОЛЬ УТЁС"</t>
  </si>
  <si>
    <t>ОБЩЕСТВО С ОГРАНИЧЕННОЙ ОТВЕТСТВЕННОСТЬЮ "МАРИУПОЛЬ УТЁС"</t>
  </si>
  <si>
    <t>9310015892</t>
  </si>
  <si>
    <t>1249300015447</t>
  </si>
  <si>
    <t>ДОНЕЦКАЯ НАРОДНАЯ РЕСПУБЛИКА, ГОРОДСКОЙ ОКРУГ МАРИУПОЛЬ, Г. МАРИУПОЛЬ, УЛ. МАМИНА-СИБИРЯКА, Д. 47/17, КВ. 72</t>
  </si>
  <si>
    <t>МБУ МГЦФЗН "СПОРТ ДЛЯ ВСЕХ"</t>
  </si>
  <si>
    <t>МУНИЦИПАЛЬНОЕ БЮДЖЕТНОЕ УЧРЕЖДЕНИЕ МАРИУПОЛЬСКИЙ ГОРОДСКОЙ ЦЕНТР ФИЗИЧЕСКОГО ЗДОРОВЬЯ НАСЕЛЕНИЯ "СПОРТ ДЛЯ ВСЕХ"</t>
  </si>
  <si>
    <t>9310001554</t>
  </si>
  <si>
    <t>1229300133094</t>
  </si>
  <si>
    <t>ГБПОУ "МТТПТ"</t>
  </si>
  <si>
    <t>ГОСУДАРСТВЕННОЕ БЮДЖЕТНОЕ ПРОФЕССИОНАЛЬНОЕ ОБРАЗОВАТЕЛЬНОЕ УЧРЕЖДЕНИЕ "МАРИУПОЛЬСКИЙ ТЕХНИКУМ ТРАНСПОРТА И ПРОМЫШЛЕННЫХ ТЕХНОЛОГИЙ"</t>
  </si>
  <si>
    <t>9310004227</t>
  </si>
  <si>
    <t>1229300139661</t>
  </si>
  <si>
    <t>287557, ДОНЕЦКАЯ НАРОДНАЯ РЕСПУБЛИКА, МАРИУПОЛЬ, Г. МАРИУПОЛЬ, Г. МАРИУПОЛЬ, УЛ. ТАГАНРОГСКАЯ, Д. 199</t>
  </si>
  <si>
    <t>ГБПОУ "МЭМК"</t>
  </si>
  <si>
    <t>ГОСУДАРСТВЕННОЕ БЮДЖЕТНОЕ ПРОФЕССИОНАЛЬНОЕ ОБРАЗОВАТЕЛЬНОЕ УЧРЕЖДЕНИЕ "МАРИУПОЛЬСКИЙ ЭЛЕКТРОМЕХАНИЧЕСКИЙ КОЛЛЕДЖ"</t>
  </si>
  <si>
    <t>9310005855</t>
  </si>
  <si>
    <t>1229300142752</t>
  </si>
  <si>
    <t>287510, ДОНЕЦКАЯ НАРОДНАЯ РЕСПУБЛИКА, МАРИУПОЛЬ, Г. МАРИУПОЛЬ, Г. МАРИУПОЛЬ, УЛ. ЗЕЛИНСКОГО, Д. 11</t>
  </si>
  <si>
    <t>ООО "МП ЛОВ "ГРАНТ"</t>
  </si>
  <si>
    <t>ОБЩЕСТВО С ОГРАНИЧЕННОЙ ОТВЕТСТВЕННОСТЬЮ "МАРИУПОЛЬСКОЕ ПРЕДПРИЯТИЕ ЛЮДЕЙ С ОГРАНИЧЕННЫМИ ВОЗМОЖНОСТЯМИ "ГРАНТ"</t>
  </si>
  <si>
    <t>9310001829</t>
  </si>
  <si>
    <t>1229300134282</t>
  </si>
  <si>
    <t>287549, ДОНЕЦКАЯ НАРОДНАЯ РЕСПУБЛИКА, МАРИУПОЛЬ, Г. МАРИУПОЛЬ, Г. МАРИУПОЛЬ, Б-Р ШЕВЧЕНКО, Д. 238, КВ. 49</t>
  </si>
  <si>
    <t>ООО "МПКФ "ТСМ"</t>
  </si>
  <si>
    <t>ОБЩЕСТВО С ОГРАНИЧЕННОЙ ОТВЕТСТВЕННОСТЬЮ "МАРИУПОЛЬСКАЯ ПРОИЗВОДСТВЕННО-КОММЕРЧЕСКАЯ ФИРМА"ТОРГСТРОЙМАТЕРИАЛЫ"</t>
  </si>
  <si>
    <t>9310003713</t>
  </si>
  <si>
    <t>1229300138760</t>
  </si>
  <si>
    <t>287501, ДОНЕЦКАЯ НАРОДНАЯ РЕСПУБЛИКА, МАРИУПОЛЬ, Г. МАРИУПОЛЬ, Г. МАРИУПОЛЬ, ТЕР. ШМИДТА ГАВАНЬ, Д. 6</t>
  </si>
  <si>
    <t>ООО МИИИЦ</t>
  </si>
  <si>
    <t>ОБЩЕСТВО С ОГРАНИЧЕННОЙ ОТВЕТСТВЕННОСТЬЮ "МАРИУПОЛЬСКИЙ ИНВЕСТИЦИОННО-ИССЛЕДОВАТЕЛЬСКИЙ ИНФОРМАЦИОННЫЙ ЦЕНТР"</t>
  </si>
  <si>
    <t>9310004668</t>
  </si>
  <si>
    <t>1229300140266</t>
  </si>
  <si>
    <t>287526, ДОНЕЦКАЯ НАРОДНАЯ РЕСПУБЛИКА, МАРИУПОЛЬ, Г. МАРИУПОЛЬ, Г. МАРИУПОЛЬ, УЛ. ТАГАНРОГСКАЯ, Д. 60</t>
  </si>
  <si>
    <t>СНТ "ЭНТУЗИАСТ"</t>
  </si>
  <si>
    <t>САДОВОДЧЕСКОЕ НЕКОММЕРЧЕСКОЕ ТОВАРИЩЕСТВО "ЭНТУЗИАСТ" РАБОЧИХ И СЛУЖАЩИХ МАРИУПОЛЬСКОГО МЕТАЛЛУРГИЧЕСКОГО КОМБИНАТА ИМ. ИЛЬИЧА</t>
  </si>
  <si>
    <t>9310005679</t>
  </si>
  <si>
    <t>1229300142389</t>
  </si>
  <si>
    <t>ДОНЕЦКАЯ НАРОДНАЯ РЕСПУБЛИКА, МАРИУПОЛЬ, Г. МАРИУПОЛЬ, Г. МАРИУПОЛЬ, ПР-КТ МЕТАЛЛУРГОВ, Д. 179, КВ. 123</t>
  </si>
  <si>
    <t>ООО "СП М ЭЧМ"</t>
  </si>
  <si>
    <t>ОБЩЕСТВО С ОГРАНИЧЕННОЙ ОТВЕТСТВЕННОСТЬЮ "СПЕЦИАЛИЗИРОВАННОЕ ПРЕДПРИЯТИЕ МАРИУПОЛЬЭНЕРГОЧЕРМЕТ"</t>
  </si>
  <si>
    <t>9310002614</t>
  </si>
  <si>
    <t>1229300136339</t>
  </si>
  <si>
    <t>287541, ДОНЕЦКАЯ НАРОДНАЯ РЕСПУБЛИКА, МАРИУПОЛЬ, Г. МАРИУПОЛЬ, Г. МАРИУПОЛЬ, УЛ. ГРАВЕРНАЯ, Д. 1</t>
  </si>
  <si>
    <t>ООО "М.Т.П.К. "ШАНС"</t>
  </si>
  <si>
    <t>ОБЩЕСТВО С ОГРАНИЧЕННОЙ ОТВЕТСТВЕННОСТЬЮ "МАРИУПОЛЬСКИЙ ТОРГОВО-ПРОИЗВОДСТВЕННЫЙ КОМПЛЕКС "ШАНС"</t>
  </si>
  <si>
    <t>9310004354</t>
  </si>
  <si>
    <t>1229300139903</t>
  </si>
  <si>
    <t>ДОНЕЦКАЯ НАРОДНАЯ РЕСПУБЛИКА, МАРИУПОЛЬ, Г. МАРИУПОЛЬ, Г. МАРИУПОЛЬ, УЛ. ГАГАРИНА, Д. 191</t>
  </si>
  <si>
    <t>ООО "МММ"</t>
  </si>
  <si>
    <t>ОБЩЕСТВО С ОГРАНИЧЕННОЙ ОТВЕТСТВЕННОСТЬЮ "МАРИУПОЛЬСКИЕ МЕХАНИЧЕСКИЕ МАСТЕРСКИЕ"</t>
  </si>
  <si>
    <t>9310003086</t>
  </si>
  <si>
    <t>1229300137670</t>
  </si>
  <si>
    <t>287521, ДОНЕЦКАЯ НАРОДНАЯ РЕСПУБЛИКА, МАРИУПОЛЬ, Г. МАРИУПОЛЬ, Г. МАРИУПОЛЬ, УЛ. ОЧАКОВСКАЯ, Д. 1</t>
  </si>
  <si>
    <t>ООО "ММС"</t>
  </si>
  <si>
    <t>ОБЩЕСТВО С ОГРАНИЧЕННОЙ ОТВЕТСТВЕННОСТЬЮ "МАРИУПОЛЬМЕТАЛЛУРГСТРОЙ"</t>
  </si>
  <si>
    <t>9310006143</t>
  </si>
  <si>
    <t>1229300177479</t>
  </si>
  <si>
    <t>287504, ДОНЕЦКАЯ НАРОДНАЯ РЕСПУБЛИКА, МАРИУПОЛЬ, Г. МАРИУПОЛЬ, Г. МАРИУПОЛЬ, УЛ. ДОМЕННАЯ, Д. 48</t>
  </si>
  <si>
    <t>МБУ "МГВФСК"</t>
  </si>
  <si>
    <t>МУНИЦИПАЛЬНОЕ БЮДЖЕТНОЕ УЧРЕЖДЕНИЕ "МАРИУПОЛЬСКИЙ ГОРОДСКОЙ ВОДНЫЙ ФИЗКУЛЬТУРНО-СПОРТИВНЫЙ КОМПЛЕКС"</t>
  </si>
  <si>
    <t>9310001346</t>
  </si>
  <si>
    <t>1229300132797</t>
  </si>
  <si>
    <t>287501, ДОНЕЦКАЯ НАРОДНАЯ РЕСПУБЛИКА, МАРИУПОЛЬ, Г. МАРИУПОЛЬ, Г. МАРИУПОЛЬ, Б-Р ПРИМОРСКИЙ, Д. 36</t>
  </si>
  <si>
    <t>ГБУ ДНР "МРДТ"</t>
  </si>
  <si>
    <t>ГОСУДАРСТВЕННОЕ БЮДЖЕТНОЕ УЧРЕЖДЕНИЕ ДОНЕЦКОЙ НАРОДНОЙ РЕСПУБЛИКИ "МАРИУПОЛЬСКИЙ РЕСПУБЛИКАНСКИЙ АКАДЕМИЧЕСКИЙ ОРДЕНА "ЗНАК ПОЧЕТА" РУССКИЙ ДРАМАТИЧЕСКИЙ ТЕАТР"</t>
  </si>
  <si>
    <t>9310000127</t>
  </si>
  <si>
    <t>1229300126494</t>
  </si>
  <si>
    <t>287501, ДОНЕЦКАЯ НАРОДНАЯ РЕСПУБЛИКА, МАРИУПОЛЬ, Г. МАРИУПОЛЬ, Г. МАРИУПОЛЬ, ПР-КТ МЕТАЛЛУРГОВ, Д. 52</t>
  </si>
  <si>
    <t>ГБПОУ "ММПТ ИМ. И.А.ЛУТА"</t>
  </si>
  <si>
    <t>ГОСУДАРСТВЕННОЕ БЮДЖЕТНОЕ ПРОФЕССИОНАЛЬНОЕ ОБРАЗОВАТЕЛЬНОЕ УЧРЕЖДЕНИЕ "МАРИУПОЛЬСКИЙ МЕТАЛЛУРГИЧЕСКИЙ ПРОФИЛЬНЫЙ ТЕХНИКУМ ИМЕНИ И.А. ЛУТА"</t>
  </si>
  <si>
    <t>9310005943</t>
  </si>
  <si>
    <t>1229300142763</t>
  </si>
  <si>
    <t>287552, ДОНЕЦКАЯ НАРОДНАЯ РЕСПУБЛИКА, МАРИУПОЛЬ, Г. МАРИУПОЛЬ, Г. МАРИУПОЛЬ, ПЕР. ЕРМАКА, Д. 31</t>
  </si>
  <si>
    <t>ГБПОУ "МПТТ"</t>
  </si>
  <si>
    <t>ГОСУДАРСТВЕННОЕ БЮДЖЕТНОЕ ПРОФЕССИОНАЛЬНОЕ ОБРАЗОВАТЕЛЬНОЕ УЧРЕЖДЕНИЕ "МАРИУПОЛЬСКИЙ ПРОМЫШЛЕННО-ТЕХНОЛОГИЧЕСКИЙ ТЕХНИКУМ"</t>
  </si>
  <si>
    <t>9310003343</t>
  </si>
  <si>
    <t>1229300138121</t>
  </si>
  <si>
    <t>ДОНЕЦКАЯ НАРОДНАЯ РЕСПУБЛИКА, МАРИУПОЛЬ, Г. МАРИУПОЛЬ, Г. МАРИУПОЛЬ, УЛ. ВОИНОВ-ОСВОБОДИТЕЛЕЙ, Д. 8</t>
  </si>
  <si>
    <t>ООО "МСК "ВЕСТА"</t>
  </si>
  <si>
    <t>ОБЩЕСТВО С ОГРАНИЧЕННОЙ ОТВЕТСТВЕННОСТЬЮ "МАРИУПОЛЬСКАЯ СТРОИТЕЛЬНАЯ КОМПАНИЯ "ВЕСТА"</t>
  </si>
  <si>
    <t>9310008292</t>
  </si>
  <si>
    <t>1239300006296</t>
  </si>
  <si>
    <t>287524, ДОНЕЦКАЯ НАРОДНАЯ РЕСПУБЛИКА, МАРИУПОЛЬ, Г. МАРИУПОЛЬ, Г. МАРИУПОЛЬ, ПР-КТ МЕТАЛЛУРГОВ, Д. 149</t>
  </si>
  <si>
    <t>ОО "ЦЕНТР ШРИ ЧИНМОЯ"</t>
  </si>
  <si>
    <t>МАРИУПОЛЬСКАЯ МЕСТНАЯ ОБЩЕСТВЕННАЯ ОРГАНИЗАЦИЯ СОДЕЙСТВИЯ РАЗВИТИЮ КУЛЬТУРЫ И СПОРТА "ЦЕНТР ШРИ ЧИНМОЯ"</t>
  </si>
  <si>
    <t>9310009480</t>
  </si>
  <si>
    <t>1239300009409</t>
  </si>
  <si>
    <t>287501, ДОНЕЦКАЯ НАРОДНАЯ РЕСПУБЛИКА, МАРИУПОЛЬ, Г. МАРИУПОЛЬ, Г. МАРИУПОЛЬ, ПР-КТ СТРОИТЕЛЕЙ, Д. 71, ПОМЕЩ. 84</t>
  </si>
  <si>
    <t>ООО "МСК"</t>
  </si>
  <si>
    <t>ОБЩЕСТВО С ОГРАНИЧЕННОЙ ОТВЕТСТВЕННОСТЬЮ "МАРИУПОЛЬСКАЯ СТИВИДОРНАЯ КОМПАНИЯ"</t>
  </si>
  <si>
    <t>9310009641</t>
  </si>
  <si>
    <t>1239300009882</t>
  </si>
  <si>
    <t>287541, ДОНЕЦКАЯ НАРОДНАЯ РЕСПУБЛИКА, МАРИУПОЛЬ, Г. МАРИУПОЛЬ, Г. МАРИУПОЛЬ, Б-Р 50 ЛЕТ ОКТЯБРЯ, Д. 26, КВ. 36</t>
  </si>
  <si>
    <t>ООО "МБК"</t>
  </si>
  <si>
    <t>ОБЩЕСТВО С ОГРАНИЧЕННОЙ ОТВЕТСТВЕННОСТЬЮ "МАРИУПОЛЬСКИЙ БОКСЁРСКИЙ КЛУБ"</t>
  </si>
  <si>
    <t>9310010301</t>
  </si>
  <si>
    <t>1239300011906</t>
  </si>
  <si>
    <t>287549, ДОНЕЦКАЯ НАРОДНАЯ РЕСПУБЛИКА, МАРИУПОЛЬ, Г. МАРИУПОЛЬ, Г. МАРИУПОЛЬ, Б-Р ШЕВЧЕНКО, Д. 301, ОФИС 130</t>
  </si>
  <si>
    <t>ООО "ММЗ"</t>
  </si>
  <si>
    <t>ОБЩЕСТВО С ОГРАНИЧЕННОЙ ОТВЕТСТВЕННОСТЬЮ "МАРИУПОЛЬСКИЙ МЕТАЛЛУРГИЧЕСКИЙ ЗАВОД"</t>
  </si>
  <si>
    <t>9310010541</t>
  </si>
  <si>
    <t>1239300012863</t>
  </si>
  <si>
    <t>287510, ДОНЕЦКАЯ НАРОДНАЯ РЕСПУБЛИКА, МАРИУПОЛЬ, Г. МАРИУПОЛЬ, Г. МАРИУПОЛЬ, ПР-КТ ЛУНИНА, Д. 33, КОМ. 13</t>
  </si>
  <si>
    <t>ООО "ММК"</t>
  </si>
  <si>
    <t>ОБЩЕСТВО С ОГРАНИЧЕННОЙ ОТВЕТСТВЕННОСТЬЮ "МАРИУПОЛЬСКИЙ МЯСОКОМБИНАТ"</t>
  </si>
  <si>
    <t>9310010460</t>
  </si>
  <si>
    <t>1239300012599</t>
  </si>
  <si>
    <t>ДОНЕЦКАЯ НАРОДНАЯ РЕСПУБЛИКА, МАРИУПОЛЬ, Г. МАРИУПОЛЬ, Г. МАРИУПОЛЬ, УЛ. РЕЧНАЯ, Д. 2А</t>
  </si>
  <si>
    <t>ООО "МПК "СОЮЗ"</t>
  </si>
  <si>
    <t>ОБЩЕСТВО С ОГРАНИЧЕННОЙ ОТВЕТСТВЕННОСТЬЮ "МАРИУПОЛЬСКАЯ ПРОИЗВОДСТВЕННАЯ КОМПАНИЯ "СОЮЗ"</t>
  </si>
  <si>
    <t>9310012274</t>
  </si>
  <si>
    <t>1249300003325</t>
  </si>
  <si>
    <t>287554, ДОНЕЦКАЯ НАРОДНАЯ РЕСПУБЛИКА, МАРИУПОЛЬ, Г. МАРИУПОЛЬ, Г. МАРИУПОЛЬ, ПР-КТ СТРОИТЕЛЕЙ, Д. 161, ПОМЕЩ. 78</t>
  </si>
  <si>
    <t>ООО "МКСМ"</t>
  </si>
  <si>
    <t>ОБЩЕСТВО С ОГРАНИЧЕННОЙ ОТВЕТСТВЕННОСТЬЮ "МАРИУПОЛЬСКИЙ КОМБИНАТ СТРОИТЕЛЬНЫХ МАТЕРИАЛОВ"</t>
  </si>
  <si>
    <t>9310013038</t>
  </si>
  <si>
    <t>1249300005921</t>
  </si>
  <si>
    <t>ООО "МВМ"</t>
  </si>
  <si>
    <t>ОБЩЕСТВО С ОГРАНИЧЕННОЙ ОТВЕТСТВЕННОСТЬЮ "МАРИУПОЛЬВТОРМЕТ"</t>
  </si>
  <si>
    <t>9310013503</t>
  </si>
  <si>
    <t>1249300007703</t>
  </si>
  <si>
    <t>ДОНЕЦКАЯ НАРОДНАЯ РЕСПУБЛИКА, МАРИУПОЛЬ, Г. МАРИУПОЛЬ, Г. МАРИУПОЛЬ, ПР-КТ СТРОИТЕЛЕЙ, Д. 136А</t>
  </si>
  <si>
    <t>ММОО "ФБС"</t>
  </si>
  <si>
    <t>МАРИУПОЛЬСКАЯ МЕСТНАЯ ОБЩЕСТВЕННАЯ ОРГАНИЗАЦИЯ "ФЕДЕРАЦИЯ БИЛЬЯРДНОГО СПОРТА"</t>
  </si>
  <si>
    <t>9310014560</t>
  </si>
  <si>
    <t>1249300011399</t>
  </si>
  <si>
    <t>287501, ДОНЕЦКАЯ НАРОДНАЯ РЕСПУБЛИКА, МАРИУПОЛЬ, Г. МАРИУПОЛЬ, Г. МАРИУПОЛЬ, УЛ. ЕВПАТОРИЙСКАЯ, Д. 56</t>
  </si>
  <si>
    <t>МБФ "РАДОСТЬ"</t>
  </si>
  <si>
    <t>МАРИУПОЛЬСКИЙ БЛАГОТВОРИТЕЛЬНЫЙ ФОНД "РАДОСТЬ"</t>
  </si>
  <si>
    <t>9310014673</t>
  </si>
  <si>
    <t>1249300011696</t>
  </si>
  <si>
    <t>ДОНЕЦКАЯ НАРОДНАЯ РЕСПУБЛИКА, МАРИУПОЛЬ, Г. МАРИУПОЛЬ, Г. МАРИУПОЛЬ, ПР-КТ СТРОИТЕЛЕЙ, Д. 85А</t>
  </si>
  <si>
    <t>ООО "МДК"</t>
  </si>
  <si>
    <t>ОБЩЕСТВО С ОГРАНИЧЕННОЙ ОТВЕТСТВЕННОСТЬЮ "МАРИУПОЛЬСКАЯ ДИСТРИБЬЮТОРСКАЯ КОМПАНИЯ"</t>
  </si>
  <si>
    <t>9310014514</t>
  </si>
  <si>
    <t>1249300011267</t>
  </si>
  <si>
    <t>287549, ДОНЕЦКАЯ НАРОДНАЯ РЕСПУБЛИКА, МАРИУПОЛЬ, Г. МАРИУПОЛЬ, Г. МАРИУПОЛЬ, Б-Р ШЕВЧЕНКО, Д. 321</t>
  </si>
  <si>
    <t>ООО "МР"</t>
  </si>
  <si>
    <t>ОБЩЕСТВО С ОГРАНИЧЕННОЙ ОТВЕТСТВЕННОСТЬЮ "МАРИУПОЛЬРЕСУРС"</t>
  </si>
  <si>
    <t>9310016889</t>
  </si>
  <si>
    <t>1249300019044</t>
  </si>
  <si>
    <t>ДОНЕЦКАЯ НАРОДНАЯ РЕСПУБЛИКА, МАРИУПОЛЬ, Г. МАРИУПОЛЬ, Г. МАРИУПОЛЬ, УЛ. КОННОАРМЕЙСКАЯ, Д. 6</t>
  </si>
  <si>
    <t>МОО МКА "СЭЙКАЦУ (ЖИЗНЬ)"</t>
  </si>
  <si>
    <t>МЕСТНАЯ ОБЩЕСТВЕННАЯ ОРГАНИЗАЦИЯ МАРИУПОЛЬСКИЙ КЛУБ АЙКИДО "СЭЙКАЦУ (ЖИЗНЬ)"</t>
  </si>
  <si>
    <t>9310017427</t>
  </si>
  <si>
    <t>1259300000079</t>
  </si>
  <si>
    <t>МУП "ЗЕЛЕНСТРОЙ"</t>
  </si>
  <si>
    <t>МУНИЦИПАЛЬНОЕ УНИТАРНОЕ ПРЕДПРИЯТИЕ "ЗЕЛЕНСТРОЙ" АДМИНИСТРАЦИИ ГОРОДСКОГО ОКРУГА МАРИУПОЛЬ ДОНЕЦКОЙ НАРОДНОЙ РЕСПУБЛИКИ</t>
  </si>
  <si>
    <t>9310000430</t>
  </si>
  <si>
    <t>1229300130982</t>
  </si>
  <si>
    <t>287512, ДОНЕЦКАЯ НАРОДНАЯ РЕСПУБЛИКА, МАРИУПОЛЬ, Г. МАРИУПОЛЬ, Г. МАРИУПОЛЬ, Ш. ВОЛОДАРСКОЕ, Д. 3</t>
  </si>
  <si>
    <t>МУП "КОММУНАЛЬНИК"</t>
  </si>
  <si>
    <t>МУНИЦИПАЛЬНОЕ УНИТАРНОЕ ПРЕДПРИЯТИЕ "КОММУНАЛЬНИК" АДМИНИСТРАЦИИ ГОРОДСКОГО ОКРУГА МАРИУПОЛЬ ДОНЕЦКОЙ НАРОДНОЙ РЕСПУБЛИКИ</t>
  </si>
  <si>
    <t>9310000374</t>
  </si>
  <si>
    <t>1229300130861</t>
  </si>
  <si>
    <t>ООО "МАС"</t>
  </si>
  <si>
    <t>ОБЩЕСТВО С ОГРАНИЧЕННОЙ ОТВЕТСТВЕННОСТЬЮ "МАРИУПОЛЬ АГРО СЕРВИС"</t>
  </si>
  <si>
    <t>9310007644</t>
  </si>
  <si>
    <t>1239300004646</t>
  </si>
  <si>
    <t>287557, ДОНЕЦКАЯ НАРОДНАЯ РЕСПУБЛИКА, МАРИУПОЛЬ, Г. МАРИУПОЛЬ, Г. МАРИУПОЛЬ, УЛ. ОЛИМПИЙСКАЯ, Д. 185, КВ. 47</t>
  </si>
  <si>
    <t>ООО "СКМ"</t>
  </si>
  <si>
    <t>ОБЩЕСТВО С ОГРАНИЧЕННОЙ ОТВЕТСТВЕННОСТЬЮ "СТРОИТЕЛЬНАЯ КОМПАНИЯ МАРИУПОЛЬ"</t>
  </si>
  <si>
    <t>9310009610</t>
  </si>
  <si>
    <t>1239300009816</t>
  </si>
  <si>
    <t>ДОНЕЦКАЯ НАРОДНАЯ РЕСПУБЛИКА, МАРИУПОЛЬ, Г. МАРИУПОЛЬ, Г. МАРИУПОЛЬ, ПЕР. ПЕЙЗАЖНЫЙ, Д. 32</t>
  </si>
  <si>
    <t>ООО "МСИ"</t>
  </si>
  <si>
    <t>ОБЩЕСТВО С ОГРАНИЧЕННОЙ ОТВЕТСТВЕННОСТЬЮ "МАРИУПОЛЬ СЕКЬЮР ИНЖИНИРИНГ"</t>
  </si>
  <si>
    <t>9310012281</t>
  </si>
  <si>
    <t>1249300003358</t>
  </si>
  <si>
    <t>346130, ДОНЕЦКАЯ НАРОДНАЯ РЕСПУБЛИКА, МАРИУПОЛЬ, Г. МАРИУПОЛЬ, Г. МАРИУПОЛЬ, УЛ. АРТЁМА, Д. 37, ПОМЕЩ. А1</t>
  </si>
  <si>
    <t>ООО "АМ Б.А.К. ИНФО"</t>
  </si>
  <si>
    <t>ОБЩЕСТВО С ОГРАНИЧЕННОЙ ОТВЕТСТВЕННОСТЬЮ "АГЕНТСТВО МАРИУПОЛЬ Б.А.К. ИНФО"</t>
  </si>
  <si>
    <t>9310017466</t>
  </si>
  <si>
    <t>1259300000189</t>
  </si>
  <si>
    <t>287510, ДОНЕЦКАЯ НАРОДНАЯ РЕСПУБЛИКА, МАРИУПОЛЬ, Г. МАРИУПОЛЬ, Г. МАРИУПОЛЬ, ПР-КТ ЛУНИНА, Д. 11, КВ. 11</t>
  </si>
  <si>
    <t>СМБУ "ГОРОДСКАЯ РИТУАЛЬНАЯ СЛУЖБА" АГОМ</t>
  </si>
  <si>
    <t>СПЕЦИАЛИЗИРОВАННОЕ МУНИЦИПАЛЬНОЕ БЮДЖЕТНОЕ УЧРЕЖДЕНИЕ "ГОРОДСКАЯ РИТУАЛЬНАЯ СЛУЖБА" АДМИНИСТРАЦИИ ГОРОДСКОГО ОКРУГА МАРИУПОЛЬ ДОНЕЦКОЙ НАРОДНОЙ РЕСПУБЛИКИ</t>
  </si>
  <si>
    <t>9310017561</t>
  </si>
  <si>
    <t>1259300000519</t>
  </si>
  <si>
    <t>ООО "МК ГРУПП"</t>
  </si>
  <si>
    <t>ОБЩЕСТВО С ОГРАНИЧЕННОЙ ОТВЕТСТВЕННОСТЬЮ "МК ГРУПП"</t>
  </si>
  <si>
    <t>4632192047</t>
  </si>
  <si>
    <t>1144632007519</t>
  </si>
  <si>
    <t>ДОНЕЦКАЯ НАРОДНАЯ РЕСПУБЛИКА, ГОРОДСКОЙ ОКРУГ МАРИУПОЛЬ, Г. МАРИУПОЛЬ, УЛ. БАХЧИВАНДЖИ, ЗД. 57</t>
  </si>
  <si>
    <t>ООО "СК ДНЕПР"</t>
  </si>
  <si>
    <t>ОБЩЕСТВО С ОГРАНИЧЕННОЙ ОТВЕТСТВЕННОСТЬЮ "СК ДНЕПР"</t>
  </si>
  <si>
    <t>9310015821</t>
  </si>
  <si>
    <t>1249300015293</t>
  </si>
  <si>
    <t>287501, Донецкая Народная Республика, ГОРОДСКОЙ ОКРУГ МАРИУПОЛЬСКИЙ, Г. МАРИУПОЛЬ, УЛ. АРХИТЕКТОРА НИЛЬСЕНА, Д. 56, ОФИС 25</t>
  </si>
  <si>
    <t>ООО МП "АЗОВМАШПРОМ"</t>
  </si>
  <si>
    <t>ОБЩЕСТВО С ОГРАНИЧЕННОЙ ОТВЕТСТВЕННОСТЬЮ МНОГОПРОФИЛЬНОЕ ПРЕДПРИЯТИЕ "АЗОВМАШПРОМ"</t>
  </si>
  <si>
    <t>9310015941</t>
  </si>
  <si>
    <t>1249300015645</t>
  </si>
  <si>
    <t>287642, Донецкая Народная Республика, ГОРОДСКОЙ ОКРУГ МАРИУПОЛЬСКИЙ, Г. МАРИУПОЛЬ, УЛ. МОНТАЖНАЯ, Д. 5</t>
  </si>
  <si>
    <t>МБУК "БИБЛИОТЕКА ИМ. К.СИМОНОВА ПГТ. ТАЛАКОВКА"</t>
  </si>
  <si>
    <t>МУНИЦИПАЛЬНОЕ БЮДЖЕТНОЕ УЧРЕЖДЕНИЕ КУЛЬТУРЫ "БИБЛИОТЕКА ИМЕНИ К.СИМОНОВА ПОСЕЛКА ГОРОДСКОГО ТИПА ТАЛАКОВКА" АДМИНИСТРАЦИИ ГОРОДА МАРИУПОЛЯ</t>
  </si>
  <si>
    <t>9310003103</t>
  </si>
  <si>
    <t>1229300137604</t>
  </si>
  <si>
    <t>287594, ДОНЕЦКАЯ НАРОДНАЯ РЕСПУБЛИКА, МАРИУПОЛЬ, Г. МАРИУПОЛЬ, ПГТ. ТАЛАКОВКА, УЛ. 40 ЛЕТ ОКТЯБРЯ, Д. 168</t>
  </si>
  <si>
    <t>МБУК "ЦКД ПГТ. СТАРЫЙ КРЫМ"</t>
  </si>
  <si>
    <t>МУНИЦИПАЛЬНОЕ БЮДЖЕТНОЕ УЧРЕЖДЕНИЕ КУЛЬТУРЫ "ЦЕНТР КУЛЬТУРЫ И ДОСУГА ПОСЕЛКА ГОРОДСКОГО ТИПА СТАРЫЙ КРЫМ" АДМИНИСТРАЦИИ ГОРОДА МАРИУПОЛЯ</t>
  </si>
  <si>
    <t>9310003600</t>
  </si>
  <si>
    <t>1229300138616</t>
  </si>
  <si>
    <t>287591, ДОНЕЦКАЯ НАРОДНАЯ РЕСПУБЛИКА, МАРИУПОЛЬ, Г. МАРИУПОЛЬ, ПГТ. СТАРЫЙ КРЫМ, УЛ. ЛЕНИНА, Д. 64</t>
  </si>
  <si>
    <t>МУП "БЛАГОУСТРОЙСТВО"</t>
  </si>
  <si>
    <t>МУНИЦИПАЛЬНОЕ УНИТАРНОЕ ПРЕДПРИЯТИЕ АДМИНИСТРАЦИИ ГОРОДА МАРИУПОЛЯ "БЛАГОУСТРОЙСТВО"</t>
  </si>
  <si>
    <t>9310000173</t>
  </si>
  <si>
    <t>1229300127077</t>
  </si>
  <si>
    <t>287592, ДОНЕЦКАЯ НАРОДНАЯ РЕСПУБЛИКА, МАРИУПОЛЬ, Г. МАРИУПОЛЬ, ПГТ. САРТАНА, УЛ. КРАСНОАРМЕЙСКАЯ, Д. 56</t>
  </si>
  <si>
    <t>ООО "САМЭКС"</t>
  </si>
  <si>
    <t>ОБЩЕСТВО С ОГРАНИЧЕННОЙ ОТВЕТСТВЕННОСТЬЮ "САМЭКС"</t>
  </si>
  <si>
    <t>9310005140</t>
  </si>
  <si>
    <t>1229300141410</t>
  </si>
  <si>
    <t>ДОНЕЦКАЯ НАРОДНАЯ РЕСПУБЛИКА, МАРИУПОЛЬ, Г. МАРИУПОЛЬ, ПГТ. САРТАНА, ПЕР. РЕЧНОЙ, Д. 2Б</t>
  </si>
  <si>
    <t>ООО "ТРИТИКУМ"</t>
  </si>
  <si>
    <t>ОБЩЕСТВО С ОГРАНИЧЕННОЙ ОТВЕТСТВЕННОСТЬЮ "ТРИТИКУМ"</t>
  </si>
  <si>
    <t>9310003336</t>
  </si>
  <si>
    <t>1229300137989</t>
  </si>
  <si>
    <t>287594, ДОНЕЦКАЯ НАРОДНАЯ РЕСПУБЛИКА, МАРИУПОЛЬ, Г. МАРИУПОЛЬ, ПГТ. ТАЛАКОВКА, УЛ. РЕЧНАЯ, Д. 26</t>
  </si>
  <si>
    <t>ООО "ЛУЧ-СА"</t>
  </si>
  <si>
    <t>ОБЩЕСТВО С ОГРАНИЧЕННОЙ ОТВЕТСТВЕННОСТЬЮ "ЛУЧ-СА"</t>
  </si>
  <si>
    <t>9310000208</t>
  </si>
  <si>
    <t>1229300128133</t>
  </si>
  <si>
    <t>МБУК "БИБЛИОТЕКА ИМ. Н.А. НЕКРАСОВА ПГТ. СТАРЫЙ КРЫМ"</t>
  </si>
  <si>
    <t>МУНИЦИПАЛЬНОЕ БЮДЖЕТНОЕ УЧРЕЖДЕНИЕ КУЛЬТУРЫ "БИБЛИОТЕКА ИМЕНИ Н.А. НЕКРАСОВА ПОСЕЛКА ГОРОДСКОГО ТИПА СТАРЫЙ КРЫМ" АДМИНИСТРАЦИИ ГОРОДА МАРИУПОЛЯ</t>
  </si>
  <si>
    <t>9310003512</t>
  </si>
  <si>
    <t>1229300138319</t>
  </si>
  <si>
    <t>МБУК "САРТАНСКИЙ ДК ИМ. Т. КАЦЫ"</t>
  </si>
  <si>
    <t>МУНИЦИПАЛЬНОЕ БЮДЖЕТНОЕ УЧРЕЖДЕНИЕ КУЛЬТУРЫ "САРТАНСКИЙ ДОМ КУЛЬТУРЫ ИМЕНИ ТАМАРЫ КАЦЫ" АДМИНИСТРАЦИИ ГОРОДА МАРИУПОЛЯ</t>
  </si>
  <si>
    <t>9310004379</t>
  </si>
  <si>
    <t>1229300139837</t>
  </si>
  <si>
    <t>287592, ДОНЕЦКАЯ НАРОДНАЯ РЕСПУБЛИКА, МАРИУПОЛЬ, Г. МАРИУПОЛЬ, ПГТ. САРТАНА, УЛ. ЧЕЛЮСКИНЦЕВ, Д. 67</t>
  </si>
  <si>
    <t>МБУК "САРТАНСКИЙ МУЗЕЙ ИСТОРИИ И ЭТНОГРАФИИ ГРЕКОВ ПРИАЗОВЬЯ"</t>
  </si>
  <si>
    <t>МУНИЦИПАЛЬНОЕ БЮДЖЕТНОЕ УЧРЕЖДЕНИЕ КУЛЬТУРЫ "САРТАНСКИЙ МУЗЕЙ ИСТОРИИ И ЭТНОГРАФИИ ГРЕКОВ ПРИАЗОВЬЯ" АДМИНИСТРАЦИИ ГОРОДА МАРИУПОЛЯ</t>
  </si>
  <si>
    <t>9310005083</t>
  </si>
  <si>
    <t>1229300141223</t>
  </si>
  <si>
    <t>287592, ДОНЕЦКАЯ НАРОДНАЯ РЕСПУБЛИКА, МАРИУПОЛЬ, Г. МАРИУПОЛЬ, ПГТ. САРТАНА, УЛ. ГЕНЕРАЛА КУРКЧИ, Д. 37А</t>
  </si>
  <si>
    <t>МБУК "СБ ИМ. М.Ю. ЛЕРМОНТОВА"</t>
  </si>
  <si>
    <t>МУНИЦИПАЛЬНОЕ БЮДЖЕТНОЕ УЧРЕЖДЕНИЕ КУЛЬТУРЫ "САРТАНСКАЯ БИБЛИОТЕКА ИМЕНИ М.Ю. ЛЕРМОНТОВА" АДМИНИСТРАЦИИ ГОРОДА МАРИУПОЛЯ</t>
  </si>
  <si>
    <t>9310003777</t>
  </si>
  <si>
    <t>1229300138902</t>
  </si>
  <si>
    <t>287592, ДОНЕЦКАЯ НАРОДНАЯ РЕСПУБЛИКА, МАРИУПОЛЬ, Г. МАРИУПОЛЬ, ПГТ. САРТАНА, УЛ. ЧЕЛЮСКИНЦЕВ, Д. 34А</t>
  </si>
  <si>
    <t>МБУК "ТАЛАКОВСКИЙ ЦКД" Г.МАРИУПОЛЯ</t>
  </si>
  <si>
    <t>МУНИЦИПАЛЬНОЕ БЮДЖЕТНОЕ УЧРЕЖДЕНИЕ КУЛЬТУРЫ "ТАЛАКОВСКИЙ ЦЕНТР КУЛЬТУРЫ И ДОСУГА" АДМИНИСТРАЦИИ ГОРОДА МАРИУПОЛЯ</t>
  </si>
  <si>
    <t>9310005277</t>
  </si>
  <si>
    <t>1229300141663</t>
  </si>
  <si>
    <t>287594, ДОНЕЦКАЯ НАРОДНАЯ РЕСПУБЛИКА, МАРИУПОЛЬ, Г. МАРИУПОЛЬ, ПГТ. ТАЛАКОВКА, УЛ. 20 ПАРТСЪЕЗДА, Д. 33</t>
  </si>
  <si>
    <t>МБУ ДО "САРТАНСКАЯ ДШИ № 4"</t>
  </si>
  <si>
    <t>МУНИЦИПАЛЬНОЕ БЮДЖЕТНОЕ УЧРЕЖДЕНИЕ ДОПОЛНИТЕЛЬНОГО ОБРАЗОВАНИЯ "САРТАНСКАЯ ДЕТСКАЯ ШКОЛА ИСКУССТВ № 4"</t>
  </si>
  <si>
    <t>9310004932</t>
  </si>
  <si>
    <t>1229300140915</t>
  </si>
  <si>
    <t>287592, ДОНЕЦКАЯ НАРОДНАЯ РЕСПУБЛИКА, МАРИУПОЛЬ, Г. МАРИУПОЛЬ, ПГТ. САРТАНА, УЛ. ЛАФАЗАНА, Д. 30</t>
  </si>
  <si>
    <t>ООО "ВИНГОРОД"</t>
  </si>
  <si>
    <t>ОБЩЕСТВО С ОГРАНИЧЕННОЙ ОТВЕТСТВЕННОСТЬЮ "ВИНГОРОД"</t>
  </si>
  <si>
    <t>9310007404</t>
  </si>
  <si>
    <t>1239300004008</t>
  </si>
  <si>
    <t>ДОНЕЦКАЯ НАРОДНАЯ РЕСПУБЛИКА, МАРИУПОЛЬ, Г. МАРИУПОЛЬ, ПГТ. САРТАНА, ПЕР. ПАРКОВЫЙ, Д. 7, ПОМЕЩ. 5</t>
  </si>
  <si>
    <t>ООО "ДАМИР"</t>
  </si>
  <si>
    <t>ОБЩЕСТВО С ОГРАНИЧЕННОЙ ОТВЕТСТВЕННОСТЬЮ "ДАМИР"</t>
  </si>
  <si>
    <t>9310009440</t>
  </si>
  <si>
    <t>1239300009277</t>
  </si>
  <si>
    <t>ДОНЕЦКАЯ НАРОДНАЯ РЕСПУБЛИКА, МАРИУПОЛЬ, Г. МАРИУПОЛЬ, ПГТ. СТАРЫЙ КРЫМ, УЛ. КОМСОМОЛЬСКАЯ, Д. 87</t>
  </si>
  <si>
    <t>ООО "МИРАЖ"</t>
  </si>
  <si>
    <t>ОБЩЕСТВО С ОГРАНИЧЕННОЙ ОТВЕТСТВЕННОСТЬЮ "МИРАЖ"</t>
  </si>
  <si>
    <t>9310009458</t>
  </si>
  <si>
    <t>1239300009288</t>
  </si>
  <si>
    <t>ДОНЕЦКАЯ НАРОДНАЯ РЕСПУБЛИКА, МАРИУПОЛЬ, Г. МАРИУПОЛЬ, ПГТ. СТАРЫЙ КРЫМ, УЛ. ЛЕНИНА, Д. 43</t>
  </si>
  <si>
    <t>ООО "ФОРТУНА"</t>
  </si>
  <si>
    <t>ОБЩЕСТВО С ОГРАНИЧЕННОЙ ОТВЕТСТВЕННОСТЬЮ "ФОРТУНА"</t>
  </si>
  <si>
    <t>9310009514</t>
  </si>
  <si>
    <t>1239300009497</t>
  </si>
  <si>
    <t>ДОНЕЦКАЯ НАРОДНАЯ РЕСПУБЛИКА, МАРИУПОЛЬ, Г. МАРИУПОЛЬ, ПГТ. СТАРЫЙ КРЫМ, УЛ. КИРОВА, Д. 28Б</t>
  </si>
  <si>
    <t>ООО "РАССВЕТ"</t>
  </si>
  <si>
    <t>ОБЩЕСТВО С ОГРАНИЧЕННОЙ ОТВЕТСТВЕННОСТЬЮ "РАССВЕТ"</t>
  </si>
  <si>
    <t>9310010005</t>
  </si>
  <si>
    <t>1239300011026</t>
  </si>
  <si>
    <t>287592, ДОНЕЦКАЯ НАРОДНАЯ РЕСПУБЛИКА, МАРИУПОЛЬ, Г. МАРИУПОЛЬ, ПГТ. САРТАНА, УЛ. ЛЕРМОНТОВА, Д. 113</t>
  </si>
  <si>
    <t>ООО "ВОСХОД"</t>
  </si>
  <si>
    <t>ОБЩЕСТВО С ОГРАНИЧЕННОЙ ОТВЕТСТВЕННОСТЬЮ "ВОСХОД"</t>
  </si>
  <si>
    <t>9310010340</t>
  </si>
  <si>
    <t>1239300012005</t>
  </si>
  <si>
    <t>287594, ДОНЕЦКАЯ НАРОДНАЯ РЕСПУБЛИКА, МАРИУПОЛЬ, Г. МАРИУПОЛЬ, ПГТ. ТАЛАКОВКА, УЛ. СОРАТНИКОВ, Д. 19</t>
  </si>
  <si>
    <t>ООО "ШАНС"</t>
  </si>
  <si>
    <t>ОБЩЕСТВО С ОГРАНИЧЕННОЙ ОТВЕТСТВЕННОСТЬЮ "ШАНС"</t>
  </si>
  <si>
    <t>9310010319</t>
  </si>
  <si>
    <t>1239300011928</t>
  </si>
  <si>
    <t>ДОНЕЦКАЯ НАРОДНАЯ РЕСПУБЛИКА, МАРИУПОЛЬ, Г. МАРИУПОЛЬ, ПГТ. СТАРЫЙ КРЫМ, УЛ. КОМСОМОЛЬСКАЯ, Д. 56</t>
  </si>
  <si>
    <t>ООО "ДОНТРАНСАВТО"</t>
  </si>
  <si>
    <t>ОБЩЕСТВО С ОГРАНИЧЕННОЙ ОТВЕТСТВЕННОСТЬЮ "ДОНТРАНСАВТО"</t>
  </si>
  <si>
    <t>9310010809</t>
  </si>
  <si>
    <t>1239300014084</t>
  </si>
  <si>
    <t>ДОНЕЦКАЯ НАРОДНАЯ РЕСПУБЛИКА, МАРИУПОЛЬ, Г. МАРИУПОЛЬ, ПГТ. САРТАНА, ПЕР. ПАРКОВЫЙ, Д. 7, КОМ. 2</t>
  </si>
  <si>
    <t>ООО "ЛУКОШКО"</t>
  </si>
  <si>
    <t>ОБЩЕСТВО С ОГРАНИЧЕННОЙ ОТВЕТСТВЕННОСТЬЮ "ЛУКОШКО"</t>
  </si>
  <si>
    <t>9310010870</t>
  </si>
  <si>
    <t>1239300014381</t>
  </si>
  <si>
    <t>ДОНЕЦКАЯ НАРОДНАЯ РЕСПУБЛИКА, МАРИУПОЛЬ, Г. МАРИУПОЛЬ, ПГТ. СТАРЫЙ КРЫМ, УЛ. ЛЕНИНА, Д. 56</t>
  </si>
  <si>
    <t>ООО "М-СТРОЙ"</t>
  </si>
  <si>
    <t>ОБЩЕСТВО С ОГРАНИЧЕННОЙ ОТВЕТСТВЕННОСТЬЮ "М-СТРОЙ"</t>
  </si>
  <si>
    <t>9310011249</t>
  </si>
  <si>
    <t>1239300016702</t>
  </si>
  <si>
    <t>ДОНЕЦКАЯ НАРОДНАЯ РЕСПУБЛИКА, МАРИУПОЛЬ, Г. МАРИУПОЛЬ, ПГТ. СТАРЫЙ КРЫМ, УЛ. КУЙБЫШЕВА, Д. 57</t>
  </si>
  <si>
    <t>МЕСТНАЯ РЕЛИГИОЗНАЯ ОРГАНИЗАЦИЯ ПРАВОСЛАВНЫЙ ПРИХОД СВЯТО-ГЕОРГИЕВСКОГО ХРАМА ПГТ САРТАНА ДОНЕЦКОЙ ЕПАРХИИ РУССКОЙ ПРАВОСЛАВНОЙ ЦЕРКВИ (МОСКОВСКИЙ ПАТРИАРХАТ)</t>
  </si>
  <si>
    <t>9310012669</t>
  </si>
  <si>
    <t>1249300004777</t>
  </si>
  <si>
    <t>ДОНЕЦКАЯ НАРОДНАЯ РЕСПУБЛИКА, МАРИУПОЛЬ, Г. МАРИУПОЛЬ, ПГТ. САРТАНА, УЛ. КРАСНОАРМЕЙСКАЯ, Д. 27А</t>
  </si>
  <si>
    <t>МЕСТНАЯ РЕЛИГИОЗНАЯ ОРГАНИЗАЦИЯ ПРАВОСЛАВНЫЙ ПРИХОД СВЯТО-ИЛЬИНСКОГО ХРАМА ГОРОДА МАРИУПОЛЯ ДОНЕЦКОЙ ЕПАРХИИ РУССКОЙ ПРАВОСЛАВНОЙ ЦЕРКВИ (МОСКОВСКИЙ ПАТРИАРХАТ)</t>
  </si>
  <si>
    <t>9310012933</t>
  </si>
  <si>
    <t>1249300005646</t>
  </si>
  <si>
    <t>ДОНЕЦКАЯ НАРОДНАЯ РЕСПУБЛИКА, МАРИУПОЛЬ, Г. МАРИУПОЛЬ, ПГТ. СТАРЫЙ КРЫМ, УЛ. КОМСОМОЛЬСКАЯ, Д. 35</t>
  </si>
  <si>
    <t>МЕСТНАЯ РЕЛИГИОЗНАЯ ОРГАНИЗАЦИЯ ПРАВОСЛАВНЫЙ ПРИХОД ХРАМА РОЖДЕСТВА ПРЕСВЯТОЙ БОГОРОДИЦЫ ПГТ ТАЛАКОВКА ДОНЕЦКОЙ ЕПАРХИИ РУССКОЙ ПРАВОСЛАВНОЙ ЦЕРКВИ (МОСКОВСКИЙ ПАТРИАРХАТ)</t>
  </si>
  <si>
    <t>9310013013</t>
  </si>
  <si>
    <t>1249300005844</t>
  </si>
  <si>
    <t>ДОНЕЦКАЯ НАРОДНАЯ РЕСПУБЛИКА, МАРИУПОЛЬ, Г. МАРИУПОЛЬ, ПГТ. ТАЛАКОВКА, УЛ. 40 ЛЕТ ОКТЯБРЯ, Д. 98</t>
  </si>
  <si>
    <t>ООО "НАШ КРАЙ"</t>
  </si>
  <si>
    <t>ОБЩЕСТВО С ОГРАНИЧЕННОЙ ОТВЕТСТВЕННОСТЬЮ "НАШ КРАЙ"</t>
  </si>
  <si>
    <t>9310012436</t>
  </si>
  <si>
    <t>1249300003996</t>
  </si>
  <si>
    <t>287591, ДОНЕЦКАЯ НАРОДНАЯ РЕСПУБЛИКА, МАРИУПОЛЬ, Г. МАРИУПОЛЬ, ПГТ. СТАРЫЙ КРЫМ, УЛ. КИРОВА, Д. 41А</t>
  </si>
  <si>
    <t>ПК "ОБЩЕСТВО ЦВЕТОВОДОВ-ЛЮБИТЕЛЕЙ "ТЮЛЬПАН"</t>
  </si>
  <si>
    <t>ПОТРЕБИТЕЛЬСКИЙ КООПЕРАТИВ "ОБЩЕСТВО ЦВЕТОВОДОВ-ЛЮБИТЕЛЕЙ "ТЮЛЬПАН"</t>
  </si>
  <si>
    <t>9310013670</t>
  </si>
  <si>
    <t>1249300008275</t>
  </si>
  <si>
    <t>ДОНЕЦКАЯ НАРОДНАЯ РЕСПУБЛИКА, МАРИУПОЛЬ, Г. МАРИУПОЛЬ, ПГТ. СТАРЫЙ КРЫМ, УЛ. ЗАРЕЧНАЯ, Д. 73А</t>
  </si>
  <si>
    <t>СНТ "ГРАНИТ"</t>
  </si>
  <si>
    <t>САДОВОДЧЕСКОЕ НЕКОММЕРЧЕСКОЕ ТОВАРИЩЕСТВО "ГРАНИТ"</t>
  </si>
  <si>
    <t>9310013711</t>
  </si>
  <si>
    <t>1249300008363</t>
  </si>
  <si>
    <t>ДОНЕЦКАЯ НАРОДНАЯ РЕСПУБЛИКА, МАРИУПОЛЬ, Г. МАРИУПОЛЬ, ПГТ. СТАРЫЙ КРЫМ, УЛ. КРАСНОАРМЕЙСКАЯ, Д. 4</t>
  </si>
  <si>
    <t>ООО "ИРИНИ-ТОРГ"</t>
  </si>
  <si>
    <t>ОБЩЕСТВО С ОГРАНИЧЕННОЙ ОТВЕТСТВЕННОСТЬЮ "ИРИНИ-ТОРГ"</t>
  </si>
  <si>
    <t>9310014909</t>
  </si>
  <si>
    <t>1249300012213</t>
  </si>
  <si>
    <t>ДОНЕЦКАЯ НАРОДНАЯ РЕСПУБЛИКА, МАРИУПОЛЬ, Г. МАРИУПОЛЬ, ПГТ. САРТАНА, УЛ. КОЛХОЗНАЯ, Д. 13Б</t>
  </si>
  <si>
    <t>ООО "АСПС"</t>
  </si>
  <si>
    <t>ОБЩЕСТВО С ОГРАНИЧЕННОЙ ОТВЕТСТВЕННОСТЬЮ "АВТОСПЕЦПРОМСТРОЙ"</t>
  </si>
  <si>
    <t>9310017219</t>
  </si>
  <si>
    <t>1249300020375</t>
  </si>
  <si>
    <t>ДОНЕЦКАЯ НАРОДНАЯ РЕСПУБЛИКА, МАРИУПОЛЬ, Г. МАРИУПОЛЬ, ПГТ. САРТАНА, УЛ. СОВЕТСКАЯ, Д. 8А</t>
  </si>
  <si>
    <t>ООО "РЕСУРС НН"</t>
  </si>
  <si>
    <t>ОБЩЕСТВО С ОГРАНИЧЕННОЙ ОТВЕТСТВЕННОСТЬЮ "РЕСУРС НН"</t>
  </si>
  <si>
    <t>9310000053</t>
  </si>
  <si>
    <t>1229300000599</t>
  </si>
  <si>
    <t>287537, ДОНЕЦКАЯ НАРОДНАЯ РЕСПУБЛИКА, МАРИУПОЛЬ, Г. МАРИУПОЛЬ, Г. МАРИУПОЛЬ, УЛ. КАРЛА ЛИБКНЕХТА, Д. 177, ОФИС 406</t>
  </si>
  <si>
    <t>ООО "ТЕХНОТРОН"</t>
  </si>
  <si>
    <t>ОБЩЕСТВО С ОГРАНИЧЕННОЙ ОТВЕТСТВЕННОСТЬЮ "ТЕХНОТРОН"</t>
  </si>
  <si>
    <t>9310000039</t>
  </si>
  <si>
    <t>1229300000511</t>
  </si>
  <si>
    <t>287557, ДОНЕЦКАЯ НАРОДНАЯ РЕСПУБЛИКА, МАРИУПОЛЬ, Г. МАРИУПОЛЬ, Г. МАРИУПОЛЬ, УЛ. ПЕЙЗАЖНАЯ, Д. 40, К. 1, КВ. 45</t>
  </si>
  <si>
    <t>ООО "ЭЛЕКТРОЯР ДОНБАСС"</t>
  </si>
  <si>
    <t>ОБЩЕСТВО С ОГРАНИЧЕННОЙ ОТВЕТСТВЕННОСТЬЮ "ЭЛЕКТРОЯР ДОНБАСС"</t>
  </si>
  <si>
    <t>9308000391</t>
  </si>
  <si>
    <t>1229300000500</t>
  </si>
  <si>
    <t>ДОНЕЦКАЯ НАРОДНАЯ РЕСПУБЛИКА, МАРИУПОЛЬ, Г. МАРИУПОЛЬ, Г. МАРИУПОЛЬ, ПЕР. РЯБИНОВЫЙ, Д. 37, ПОМЕЩ. 1</t>
  </si>
  <si>
    <t>ООО "СКРАБ"</t>
  </si>
  <si>
    <t>ОБЩЕСТВО С ОГРАНИЧЕННОЙ ОТВЕТСТВЕННОСТЬЮ "СКРАБ"</t>
  </si>
  <si>
    <t>9310004202</t>
  </si>
  <si>
    <t>1229300139562</t>
  </si>
  <si>
    <t>287504, ДОНЕЦКАЯ НАРОДНАЯ РЕСПУБЛИКА, МАРИУПОЛЬ, Г. МАРИУПОЛЬ, Г. МАРИУПОЛЬ, УЛ. ВУЗОВСКАЯ, Д. 3</t>
  </si>
  <si>
    <t>ООО "МЯСО МАРКЕТ"</t>
  </si>
  <si>
    <t>ОБЩЕСТВО С ОГРАНИЧЕННОЙ ОТВЕТСТВЕННОСТЬЮ "МЯСО МАРКЕТ"</t>
  </si>
  <si>
    <t>9310001787</t>
  </si>
  <si>
    <t>1229300134062</t>
  </si>
  <si>
    <t>ДОНЕЦКАЯ НАРОДНАЯ РЕСПУБЛИКА, МАРИУПОЛЬ, Г. МАРИУПОЛЬ, Г. МАРИУПОЛЬ, УЛ. ЭНГЕЛЬСА, Д. 26/2, ПОМЕЩ. 2</t>
  </si>
  <si>
    <t>ООО "НИКА СВ"</t>
  </si>
  <si>
    <t>ОБЩЕСТВО С ОГРАНИЧЕННОЙ ОТВЕТСТВЕННОСТЬЮ "НИКА СВ"</t>
  </si>
  <si>
    <t>9310001145</t>
  </si>
  <si>
    <t>1229300132456</t>
  </si>
  <si>
    <t>287501, ДОНЕЦКАЯ НАРОДНАЯ РЕСПУБЛИКА, МАРИУПОЛЬ, Г. МАРИУПОЛЬ, Г. МАРИУПОЛЬ, Б-Р ПРИМОРСКИЙ, Д. 33</t>
  </si>
  <si>
    <t>ООО "ПКФ "ВАНГА"</t>
  </si>
  <si>
    <t>ОБЩЕСТВО С ОГРАНИЧЕННОЙ ОТВЕТСТВЕННОСТЬЮ "ПРОИЗВОДСТВЕННО-КОММЕРЧЕСКАЯ ФИРМА "ВАНГА"</t>
  </si>
  <si>
    <t>9310005904</t>
  </si>
  <si>
    <t>1229300142719</t>
  </si>
  <si>
    <t>287504, ДОНЕЦКАЯ НАРОДНАЯ РЕСПУБЛИКА, МАРИУПОЛЬ, Г. МАРИУПОЛЬ, Г. МАРИУПОЛЬ, УЛ. МАКАРА МАЗАЯ, Д. 1</t>
  </si>
  <si>
    <t>ООО "ПКФ "САВАДИ"</t>
  </si>
  <si>
    <t>ОБЩЕСТВО С ОГРАНИЧЕННОЙ ОТВЕТСТВЕННОСТЬЮ "ПРОИЗВОДСТВЕННО-КОМЕРЧЕСКАЯ ФИРМА "САВАДИ"</t>
  </si>
  <si>
    <t>9310001191</t>
  </si>
  <si>
    <t>1229300132566</t>
  </si>
  <si>
    <t>ДОНЕЦКАЯ НАРОДНАЯ РЕСПУБЛИКА, МАРИУПОЛЬ, Г. МАРИУПОЛЬ, Г. МАРИУПОЛЬ, Ш. ВОЛОДАРСКОЕ, Д. 9</t>
  </si>
  <si>
    <t>ООО "ПКФ "СПАРТС-ЛТД"</t>
  </si>
  <si>
    <t>ОБЩЕСТВО С ОГРАНИЧЕННОЙ ОТВЕТСТВЕННОСТЬЮ "ПРОИЗВОДСТВЕННО-КОММЕРЧЕСКАЯ ФИРМА "СПАРТС-ЛТД"</t>
  </si>
  <si>
    <t>9310001307</t>
  </si>
  <si>
    <t>1229300132709</t>
  </si>
  <si>
    <t>287504, ДОНЕЦКАЯ НАРОДНАЯ РЕСПУБЛИКА, МАРИУПОЛЬ, Г. МАРИУПОЛЬ, Г. МАРИУПОЛЬ, УЛ. РОВНАЯ, Д. 105</t>
  </si>
  <si>
    <t>ООО "ЧДСП"</t>
  </si>
  <si>
    <t>ОБЩЕСТВО С ОГРАНИЧЕННОЙ ОТВЕТСТВЕННОСТЬЮ "ЧАСТНОЕ ДОРОЖНО-СТРОИТЕЛЬНОЕ ПРЕДПРИЯТИЕ"</t>
  </si>
  <si>
    <t>9310000222</t>
  </si>
  <si>
    <t>1229300128430</t>
  </si>
  <si>
    <t>287524, ДОНЕЦКАЯ НАРОДНАЯ РЕСПУБЛИКА, МАРИУПОЛЬ, Г. МАРИУПОЛЬ, Г. МАРИУПОЛЬ, ПР-КТ ИЛЬИЧА, Д. 150</t>
  </si>
  <si>
    <t>АГК "КРОСС-2"</t>
  </si>
  <si>
    <t>АВТОГАРАЖНЫЙ КООПЕРАТИВ "КРОСС-2"</t>
  </si>
  <si>
    <t>9310001522</t>
  </si>
  <si>
    <t>1229300133215</t>
  </si>
  <si>
    <t>287526, ДОНЕЦКАЯ НАРОДНАЯ РЕСПУБЛИКА, МАРИУПОЛЬ, Г. МАРИУПОЛЬ, Г. МАРИУПОЛЬ, УЛ. ОЛИМПИЙСКАЯ, Д. 77А</t>
  </si>
  <si>
    <t>АДМИНИСТРАЦИЯ ОРДЖОНИКИДЗЕВСКОГО РАЙОНА Г. МАРИУПОЛЯ</t>
  </si>
  <si>
    <t>АДМИНИСТРАЦИЯ ОРДЖОНИКИДЗЕВСКОГО РАЙОНА ГОРОДА МАРИУПОЛЯ</t>
  </si>
  <si>
    <t>9310000286</t>
  </si>
  <si>
    <t>1229300130113</t>
  </si>
  <si>
    <t>АДМИНИСТРАЦИЯ ПРИМОРСКОГО РАЙОНА Г. МАРИУПОЛЯ</t>
  </si>
  <si>
    <t>АДМИНИСТРАЦИЯ ПРИМОРСКОГО РАЙОНА ГОРОДА МАРИУПОЛЯ</t>
  </si>
  <si>
    <t>9310000310</t>
  </si>
  <si>
    <t>1229300130619</t>
  </si>
  <si>
    <t>ГБУ ДНР "ММКЦ "БИЛ" Г.МАРИУПОЛЯ"</t>
  </si>
  <si>
    <t>ГОСУДАРСТВЕННОЕ БЮДЖЕТНОЕ УЧРЕЖДЕНИЕ ДОНЕЦКОЙ НАРОДНОЙ РЕСПУБЛИКИ "МНОГОПРОФИЛЬНЫЙ МЕДИЦИНСКИЙ КЛИНИЧЕСКИЙ ЦЕНТР "БОЛЬНИЦА ИНТЕНСИВНОГО ЛЕЧЕНИЯ" Г.МАРИУПОЛЯ"</t>
  </si>
  <si>
    <t>9310000423</t>
  </si>
  <si>
    <t>1229300131060</t>
  </si>
  <si>
    <t>https://bil-mariupol.gosuslugi.ru</t>
  </si>
  <si>
    <t>ГБУ ДНР "БСМП Г.МАРИУПОЛЯ"</t>
  </si>
  <si>
    <t>ГОСУДАРСТВЕННОЕ БЮДЖЕТНОЕ УЧРЕЖДЕНИЕ ДОНЕЦКОЙ НАРОДНОЙ РЕСПУБЛИКИ "БОЛЬНИЦА СКОРОЙ МЕДИЦИНСКОЙ ПОМОЩИ Г.МАРИУПОЛЯ"</t>
  </si>
  <si>
    <t>9310000416</t>
  </si>
  <si>
    <t>1229300130828</t>
  </si>
  <si>
    <t>287549, ДОНЕЦКАЯ НАРОДНАЯ РЕСПУБЛИКА, МАРИУПОЛЬ, Г. МАРИУПОЛЬ, Г. МАРИУПОЛЬ, УЛ. БАХМУТСКАЯ, Д. 20А</t>
  </si>
  <si>
    <t>ГБУ ДНР "ГБ № 1 Г.МАРИУПОЛЯ"</t>
  </si>
  <si>
    <t>ГОСУДАРСТВЕННОЕ БЮДЖЕТНОЕ УЧРЕЖДЕНИЕ ДОНЕЦКОЙ НАРОДНОЙ РЕСПУБЛИКИ "ГОРОДСКАЯ БОЛЬНИЦА № 1 Г.МАРИУПОЛЯ"</t>
  </si>
  <si>
    <t>9310000504</t>
  </si>
  <si>
    <t>1229300131213</t>
  </si>
  <si>
    <t>287504, ДОНЕЦКАЯ НАРОДНАЯ РЕСПУБЛИКА, МАРИУПОЛЬ, Г. МАРИУПОЛЬ, Г. МАРИУПОЛЬ, УЛ. БОДРОВА, Д. 2</t>
  </si>
  <si>
    <t>ГБУ ДНР "ГБ № 2 Г.МАРИУПОЛЯ"</t>
  </si>
  <si>
    <t>ГОСУДАРСТВЕННОЕ БЮДЖЕТНОЕ УЧРЕЖДЕНИЕ ДОНЕЦКОЙ НАРОДНОЙ РЕСПУБЛИКИ "ГОРОДСКАЯ БОЛЬНИЦА № 2 Г.МАРИУПОЛЯ"</t>
  </si>
  <si>
    <t>9310000617</t>
  </si>
  <si>
    <t>1229300131720</t>
  </si>
  <si>
    <t>287541, ДОНЕЦКАЯ НАРОДНАЯ РЕСПУБЛИКА, МАРИУПОЛЬ, Г. МАРИУПОЛЬ, Г. МАРИУПОЛЬ, УЛ. ПАШКОВСКОГО, Д. 36</t>
  </si>
  <si>
    <t>ГБУ ДНР "ГБ № 8 Г.МАРИУПОЛЯ"</t>
  </si>
  <si>
    <t>ГОСУДАРСТВЕННОЕ БЮДЖЕТНОЕ УЧРЕЖДЕНИЕ ДОНЕЦКОЙ НАРОДНОЙ РЕСПУБЛИКИ "ГОРОДСКАЯ БОЛЬНИЦА № 8 Г.МАРИУПОЛЯ"</t>
  </si>
  <si>
    <t>9310005090</t>
  </si>
  <si>
    <t>1229300141245</t>
  </si>
  <si>
    <t>287501, ДОНЕЦКАЯ НАРОДНАЯ РЕСПУБЛИКА, МАРИУПОЛЬ, Г. МАРИУПОЛЬ, Г. МАРИУПОЛЬ, Б-Р ПРИМОРСКИЙ, Д. 23</t>
  </si>
  <si>
    <t>ГБУ ДНР "ГБ №9 Г.МАРИУПОЛЯ"</t>
  </si>
  <si>
    <t>ГОСУДАРСТВЕННОЕ БЮДЖЕТНОЕ УЧРЕЖДЕНИЕ ДОНЕЦКОЙ НАРОДНОЙ РЕСПУБЛИКИ "ГОРОДСКАЯ БОЛЬНИЦА № 9 Г.МАРИУПОЛЯ"</t>
  </si>
  <si>
    <t>9310005051</t>
  </si>
  <si>
    <t>1229300141256</t>
  </si>
  <si>
    <t>287510, ДОНЕЦКАЯ НАРОДНАЯ РЕСПУБЛИКА, МАРИУПОЛЬ, Г. МАРИУПОЛЬ, Г. МАРИУПОЛЬ, УЛ. ГАГАРИНА, Д. 114/116</t>
  </si>
  <si>
    <t>ЖСК "ДРУЖБА-1"</t>
  </si>
  <si>
    <t>ЖИЛИЩНО-СТРОИТЕЛЬНЫЙ КООПЕРАТИВ "ДРУЖБА-1"</t>
  </si>
  <si>
    <t>9310001956</t>
  </si>
  <si>
    <t>1229300134755</t>
  </si>
  <si>
    <t>287537, ДОНЕЦКАЯ НАРОДНАЯ РЕСПУБЛИКА, МАРИУПОЛЬ, Г. МАРИУПОЛЬ, Г. МАРИУПОЛЬ, ПР-КТ ЛЕНИНА, Д. 135</t>
  </si>
  <si>
    <t>ЛЕВОБЕРЕЖНАЯ ОРНИ В Г. МАРИУПОЛЕ</t>
  </si>
  <si>
    <t>ЛЕВОБЕРЕЖНАЯ ОБЪЕДИНЕННАЯ РЕСПУБЛИКАНСКАЯ НАЛОГОВАЯ ИНСПЕКЦИЯ В Г. МАРИУПОЛЕ МИНИСТЕРСТВА ДОХОДОВ И СБОРОВ ДОНЕЦКОЙ НАРОДНОЙ РЕСПУБЛИКИ</t>
  </si>
  <si>
    <t>9310002861</t>
  </si>
  <si>
    <t>1229300137043</t>
  </si>
  <si>
    <t>МБУ "ТЦСО ЖОВТНЕВОГО РАЙОНА ГОРОДА МАРИУПОЛЯ"</t>
  </si>
  <si>
    <t>МУНИЦИПАЛЬНОЕ БЮДЖЕТНОЕ УЧРЕЖДЕНИЕ "ТЕРРИТОРИАЛЬНЫЙ ЦЕНТР СОЦИАЛЬНОГО ОБСЛУЖИВАНИЯ (ПРЕДОСТАВЛЕНИЯ СОЦИАЛЬНЫХ УСЛУГ) ЖОВТНЕВОГО РАЙОНА ГОРОДА МАРИУПОЛЯ"</t>
  </si>
  <si>
    <t>9310003248</t>
  </si>
  <si>
    <t>1229300138033</t>
  </si>
  <si>
    <t>287501, ДОНЕЦКАЯ НАРОДНАЯ РЕСПУБЛИКА, МАРИУПОЛЬ, Г. МАРИУПОЛЬ, Г. МАРИУПОЛЬ, ПР-КТ МЕТАЛЛУРГОВ, Д. 35</t>
  </si>
  <si>
    <t>МБУ "ТЦСО ИЛЬИЧЁВСКОГО РАЙОНА ГОРОДА МАРИУПОЛЯ"</t>
  </si>
  <si>
    <t>МУНИЦИПАЛЬНОЕ БЮДЖЕТНОЕ УЧРЕЖДЕНИЕ "ТЕРРИТОРИАЛЬНЫЙ ЦЕНТР СОЦИАЛЬНОГО ОБСЛУЖИВАНИЯ (ПРЕДОСТАВЛЕНИЯ СОЦИАЛЬНЫХ УСЛУГ) ИЛЬИЧЁВСКОГО РАЙОНА ГОРОДА МАРИУПОЛЯ"</t>
  </si>
  <si>
    <t>9310005750</t>
  </si>
  <si>
    <t>1229300142510</t>
  </si>
  <si>
    <t>287524, ДОНЕЦКАЯ НАРОДНАЯ РЕСПУБЛИКА, МАРИУПОЛЬ, Г. МАРИУПОЛЬ, Г. МАРИУПОЛЬ, УЛ. СЕЧЕНОВА, Д. 84</t>
  </si>
  <si>
    <t>МБУ "ТЦСО ОРДЖОНИКИДЗЕВСКОГО РАЙОНА ГОРОДА МАРИУПОЛЯ"</t>
  </si>
  <si>
    <t>МУНИЦИПАЛЬНОЕ БЮДЖЕТНОЕ УЧРЕЖДЕНИЕ "ТЕРРИТОРИАЛЬНЫЙ ЦЕНТР СОЦИАЛЬНОГО ОБСЛУЖИВАНИЯ (ПРЕДОСТАВЛЕНИЯ СОЦИАЛЬНЫХ УСЛУГ) ОРДЖОНИКИДЗЕВСКОГО РАЙОНА ГОРОДА МАРИУПОЛЯ"</t>
  </si>
  <si>
    <t>9310003424</t>
  </si>
  <si>
    <t>1229300138330</t>
  </si>
  <si>
    <t>287541, ДОНЕЦКАЯ НАРОДНАЯ РЕСПУБЛИКА, МАРИУПОЛЬ, Г. МАРИУПОЛЬ, Г. МАРИУПОЛЬ, ПЕР. КИЕВСКИЙ, Д. 4</t>
  </si>
  <si>
    <t>МБУ "ТЦСО ПРИМОРСКОГО РАЙОНА ГОРОДА МАРИУПОЛЯ"</t>
  </si>
  <si>
    <t>МУНИЦИПАЛЬНОЕ БЮДЖЕТНОЕ УЧРЕЖДЕНИЕ "ТЕРРИТОРИАЛЬНЫЙ ЦЕНТР СОЦИАЛЬНОГО ОБСЛУЖИВАНИЯ (ПРЕДОСТАВЛЕНИЯ СОЦИАЛЬНЫХ УСЛУГ) ПРИМОРСКОГО РАЙОНА ГОРОДА МАРИУПОЛЯ"</t>
  </si>
  <si>
    <t>9310003054</t>
  </si>
  <si>
    <t>1229300137880</t>
  </si>
  <si>
    <t>287510, ДОНЕЦКАЯ НАРОДНАЯ РЕСПУБЛИКА, МАРИУПОЛЬ, Г. МАРИУПОЛЬ, Г. МАРИУПОЛЬ, УЛ. КРОНШТАДТСКАЯ, Д. 11</t>
  </si>
  <si>
    <t>МБУ ДО "ДШИ № 1 Г. МАРИУПОЛЯ"</t>
  </si>
  <si>
    <t>МУНИЦИПАЛЬНОЕ БЮДЖЕТНОЕ УЧРЕЖДЕНИЕ ДОПОЛНИТЕЛЬНОГО ОБРАЗОВАНИЯ "ДЕТСКАЯ ШКОЛА ИСКУССТВ № 1 Г. МАРИУПОЛЯ"</t>
  </si>
  <si>
    <t>9310002117</t>
  </si>
  <si>
    <t>1229300135250</t>
  </si>
  <si>
    <t>287510, ДОНЕЦКАЯ НАРОДНАЯ РЕСПУБЛИКА, МАРИУПОЛЬ, Г. МАРИУПОЛЬ, Г. МАРИУПОЛЬ, УЛ. ЧЕРНОМОРСКАЯ, Д. 27</t>
  </si>
  <si>
    <t>МБУ ДО "ДШИ №3 Г. МАРИУПОЛЯ"</t>
  </si>
  <si>
    <t>МУНИЦИПАЛЬНОЕ БЮДЖЕТНОЕ УЧРЕЖДЕНИЕ ДОПОЛНИТЕЛЬНОГО ОБРАЗОВАНИЯ "ДЕТСКАЯ ШКОЛА ИСКУССТВ №3 Г. МАРИУПОЛЯ"</t>
  </si>
  <si>
    <t>9310002011</t>
  </si>
  <si>
    <t>1229300134942</t>
  </si>
  <si>
    <t>ДОНЕЦКАЯ НАРОДНАЯ РЕСПУБЛИКА, МАРИУПОЛЬ, Г. МАРИУПОЛЬ, Г. МАРИУПОЛЬ, ПЕР. РИЖСКИЙ, Д. 40</t>
  </si>
  <si>
    <t>МБУ ДО "СПЕЦИАЛИЗИРОВАННАЯ ШКОЛА ИСКУССТВ Г. МАРИУПОЛЯ"</t>
  </si>
  <si>
    <t>МУНИЦИПАЛЬНОЕ БЮДЖЕТНОЕ УЧРЕЖДЕНИЕ ДОПОЛНИТЕЛЬНОГО ОБРАЗОВАНИЯ "СПЕЦИАЛИЗИРОВАННАЯ ШКОЛА ИСКУССТВ Г.МАРИУПОЛЯ"</t>
  </si>
  <si>
    <t>9310004114</t>
  </si>
  <si>
    <t>1229300139551</t>
  </si>
  <si>
    <t>287512, ДОНЕЦКАЯ НАРОДНАЯ РЕСПУБЛИКА, МАРИУПОЛЬ, Г. МАРИУПОЛЬ, Г. МАРИУПОЛЬ, УЛ. ГРАНИТНАЯ, Д. 116</t>
  </si>
  <si>
    <t>МБУ ДО "ЦДШИ Г.МАРИУПОЛЯ"</t>
  </si>
  <si>
    <t>МУНИЦИПАЛЬНОЕ БЮДЖЕТНОЕ УЧРЕЖДЕНИЕ ДОПОЛНИТЕЛЬНОГО ОБРАЗОВАНИЯ "ЦЕНТРАЛЬНАЯ ДЕТСКАЯ ШКОЛА ИСКУССТВ Г.МАРИУПОЛЯ"</t>
  </si>
  <si>
    <t>9310004072</t>
  </si>
  <si>
    <t>1229300139254</t>
  </si>
  <si>
    <t>287501, ДОНЕЦКАЯ НАРОДНАЯ РЕСПУБЛИКА, МАРИУПОЛЬ, Г. МАРИУПОЛЬ, Г. МАРИУПОЛЬ, ПР-КТ ЛЕНИНА, Д. 48</t>
  </si>
  <si>
    <t>МБУ ДО "ДШИ № 2 Г. МАРИУПОЛЯ"</t>
  </si>
  <si>
    <t>МУНИЦИПАЛЬНОЕ БЮДЖЕТНОЕ УЧРЕЖДЕНИЕ ДОПОЛНИТЕЛЬНОГО ОБРАЗОВАНИЯ "ДЕТСКАЯ ШКОЛА ИСКУССТВ № 2 Г. МАРИУПОЛЯ"</t>
  </si>
  <si>
    <t>9310004040</t>
  </si>
  <si>
    <t>1229300139243</t>
  </si>
  <si>
    <t>287513, ДОНЕЦКАЯ НАРОДНАЯ РЕСПУБЛИКА, МАРИУПОЛЬ, Г. МАРИУПОЛЬ, Г. МАРИУПОЛЬ, КВ-Л 26, Д. 2</t>
  </si>
  <si>
    <t>МБУ КДЮСШ "АТЛЕТИК"</t>
  </si>
  <si>
    <t>МУНИЦИПАЛЬНОЕ БЮДЖЕТНОЕ УЧРЕЖДЕНИЕ КОМПЛЕКСНАЯ ДЕТСКО-ЮНОШЕСКАЯ СПОРТИВНАЯ  ШКОЛА "АТЛЕТИК"</t>
  </si>
  <si>
    <t>9310002565</t>
  </si>
  <si>
    <t>1229300136295</t>
  </si>
  <si>
    <t>287526, ДОНЕЦКАЯ НАРОДНАЯ РЕСПУБЛИКА, МАРИУПОЛЬ, Г. МАРИУПОЛЬ, Г. МАРИУПОЛЬ, ПР-КТ ТУЛЬСКИЙ, Д. 160А</t>
  </si>
  <si>
    <t>МБУ КДЮСШ "ОЛИМПИЯ"</t>
  </si>
  <si>
    <t>МУНИЦИПАЛЬНОЕ БЮДЖЕТНОЕ УЧРЕЖДЕНИЕ КОМПЛЕКСНАЯ ДЕТСКО-ЮНОШЕСКАЯ СПОРТИВНАЯ ШКОЛА "ОЛИМПИЯ"</t>
  </si>
  <si>
    <t>9310003093</t>
  </si>
  <si>
    <t>1229300137527</t>
  </si>
  <si>
    <t>МБУ КДЮСШ "ПРОМЕТЕЙ"</t>
  </si>
  <si>
    <t>МУНИЦИПАЛЬНОЕ БЮДЖЕТНОЕ УЧРЕЖДЕНИЕ КОМПЛЕКСНАЯ ДЕТСКО-ЮНОШЕСКАЯ СПОРТИВНАЯ ШКОЛА "ПРОМЕТЕЙ"</t>
  </si>
  <si>
    <t>9310003174</t>
  </si>
  <si>
    <t>1229300137857</t>
  </si>
  <si>
    <t>МБУ СК "АЗОВЕЦ"</t>
  </si>
  <si>
    <t>МУНИЦИПАЛЬНОЕ БЮДЖЕТНОЕ УЧРЕЖДЕНИЕ СПОРТИВНЫЙ КОМПЛЕКС "АЗОВЕЦ"</t>
  </si>
  <si>
    <t>9310002734</t>
  </si>
  <si>
    <t>1229300136636</t>
  </si>
  <si>
    <t>287501, ДОНЕЦКАЯ НАРОДНАЯ РЕСПУБЛИКА, МАРИУПОЛЬ, Г. МАРИУПОЛЬ, Г. МАРИУПОЛЬ, УЛ. ЭНГЕЛЬСА, Д. 2</t>
  </si>
  <si>
    <t>ООО "МИШЕЛЬ"</t>
  </si>
  <si>
    <t>ОБЩЕСТВО С ОГРАНИЧЕННОЙ ОТВЕТСТВЕННОСТЬЮ "МИШЕЛЬ"</t>
  </si>
  <si>
    <t>9310000889</t>
  </si>
  <si>
    <t>1229300132060</t>
  </si>
  <si>
    <t>287557, ДОНЕЦКАЯ НАРОДНАЯ РЕСПУБЛИКА, МАРИУПОЛЬ, Г. МАРИУПОЛЬ, Г. МАРИУПОЛЬ, ПЕР. ПЕЙЗАЖНЫЙ, Д. 9</t>
  </si>
  <si>
    <t>ТСН "ГК "АЗОВЕЦ"</t>
  </si>
  <si>
    <t>ТОВАРИЩЕСТВО СОБСТВЕННИКОВ НЕДВИЖИМОСТИ "ГАРАЖНЫЙ КООПЕРАТИВ "АЗОВЕЦ"</t>
  </si>
  <si>
    <t>9310002075</t>
  </si>
  <si>
    <t>1229300134843</t>
  </si>
  <si>
    <t>287556, ДОНЕЦКАЯ НАРОДНАЯ РЕСПУБЛИКА, МАРИУПОЛЬ, Г. МАРИУПОЛЬ, Г. МАРИУПОЛЬ, УЛ. УРИЦКОГО, Д. 85А</t>
  </si>
  <si>
    <t>ТСН "ГК "АВТО-ВИЛ"</t>
  </si>
  <si>
    <t>ТОВАРИЩЕСТВО СОБСТВЕННИКОВ НЕДВИЖИМОСТИ "ГАРАЖНЫЙ КООПЕРАТИВ "АВТО-ВИЛ"</t>
  </si>
  <si>
    <t>9310000649</t>
  </si>
  <si>
    <t>1229300131972</t>
  </si>
  <si>
    <t>287554, ДОНЕЦКАЯ НАРОДНАЯ РЕСПУБЛИКА, МАРИУПОЛЬ, Г. МАРИУПОЛЬ, Г. МАРИУПОЛЬ, УЛ. БАХМУТСКАЯ, Д. 120, КВ. 130</t>
  </si>
  <si>
    <t>СНТ "ЭНЕРГЕТИК-2"</t>
  </si>
  <si>
    <t>САДОВОДЧЕСКОЕ НЕКОММЕРЧЕСКОЕ ТОВАРИЩЕСТВО "ЭНЕРГЕТИК-2"</t>
  </si>
  <si>
    <t>9310005622</t>
  </si>
  <si>
    <t>1229300142367</t>
  </si>
  <si>
    <t>ДОНЕЦКАЯ НАРОДНАЯ РЕСПУБЛИКА, МАРИУПОЛЬ, Г. МАРИУПОЛЬ, Г. МАРИУПОЛЬ, ПР-КТ ТУЛЬСКИЙ, Д. 89, КВ. 2</t>
  </si>
  <si>
    <t>ООО "ВИКА СВ"</t>
  </si>
  <si>
    <t>ОБЩЕСТВО С ОГРАНИЧЕННОЙ ОТВЕТСТВЕННОСТЬЮ "ВИКА СВ"</t>
  </si>
  <si>
    <t>9310005823</t>
  </si>
  <si>
    <t>1229300142664</t>
  </si>
  <si>
    <t>287549, ДОНЕЦКАЯ НАРОДНАЯ РЕСПУБЛИКА, МАРИУПОЛЬ, Г. МАРИУПОЛЬ, Г. МАРИУПОЛЬ, ПР-КТ МЕТАЛЛУРГОВ, Д. 106</t>
  </si>
  <si>
    <t>ООО "САЛОН КРАСОТЫ "МИМОЗА ЛЮКС"</t>
  </si>
  <si>
    <t>ОБЩЕСТВО С ОГРАНИЧЕННОЙ ОТВЕТСТВЕННОСТЬЮ "САЛОН КРАСОТЫ "МИМОЗА ЛЮКС"</t>
  </si>
  <si>
    <t>9310002163</t>
  </si>
  <si>
    <t>1229300135130</t>
  </si>
  <si>
    <t>287512, ДОНЕЦКАЯ НАРОДНАЯ РЕСПУБЛИКА, МАРИУПОЛЬ, Г. МАРИУПОЛЬ, Г. МАРИУПОЛЬ, УЛ. УРИЦКОГО, Д. 122</t>
  </si>
  <si>
    <t>ООО "007"</t>
  </si>
  <si>
    <t>ОБЩЕСТВО С ОГРАНИЧЕННОЙ ОТВЕТСТВЕННОСТЬЮ "007"</t>
  </si>
  <si>
    <t>9310002170</t>
  </si>
  <si>
    <t>1229300135283</t>
  </si>
  <si>
    <t>287549, ДОНЕЦКАЯ НАРОДНАЯ РЕСПУБЛИКА, МАРИУПОЛЬ, Г. МАРИУПОЛЬ, Г. МАРИУПОЛЬ, ПР-КТ СТРОИТЕЛЕЙ, Д. 134</t>
  </si>
  <si>
    <t>ООО "АВАНТАЖ-СТРОЙ М"</t>
  </si>
  <si>
    <t>ОБЩЕСТВО С ОГРАНИЧЕННОЙ ОТВЕТСТВЕННОСТЬЮ "АВАНТАЖ-СТРОЙ М"</t>
  </si>
  <si>
    <t>9310003992</t>
  </si>
  <si>
    <t>1229300139276</t>
  </si>
  <si>
    <t>287524, ДОНЕЦКАЯ НАРОДНАЯ РЕСПУБЛИКА, МАРИУПОЛЬ, Г. МАРИУПОЛЬ, Г. МАРИУПОЛЬ, УЛ. СЕЧЕНОВА, Д. 63А, ПОМЕЩ. 3</t>
  </si>
  <si>
    <t>ООО "АВАНТИ-АРТ"</t>
  </si>
  <si>
    <t>ОБЩЕСТВО С ОГРАНИЧЕННОЙ ОТВЕТСТВЕННОСТЬЮ "АВАНТИ-АРТ"</t>
  </si>
  <si>
    <t>9310000180</t>
  </si>
  <si>
    <t>1229300127748</t>
  </si>
  <si>
    <t>287512, ДОНЕЦКАЯ НАРОДНАЯ РЕСПУБЛИКА, МАРИУПОЛЬ, Г. МАРИУПОЛЬ, Г. МАРИУПОЛЬ, УЛ. ГРАНИТНАЯ, Д. 162, КВ. 15</t>
  </si>
  <si>
    <t>ООО "АВТО КАПИТАЛ АЗОВ"</t>
  </si>
  <si>
    <t>ОБЩЕСТВО С ОГРАНИЧЕННОЙ ОТВЕТСТВЕННОСТЬЮ "АВТО КАПИТАЛ АЗОВ"</t>
  </si>
  <si>
    <t>9310004347</t>
  </si>
  <si>
    <t>1229300139859</t>
  </si>
  <si>
    <t>287524, ДОНЕЦКАЯ НАРОДНАЯ РЕСПУБЛИКА, МАРИУПОЛЬ, Г. МАРИУПОЛЬ, Г. МАРИУПОЛЬ, ПР-КТ КАРПОВА, Д. 14</t>
  </si>
  <si>
    <t>ООО "АВТО ЦЕНТР АЗОВ"</t>
  </si>
  <si>
    <t>ОБЩЕСТВО С ОГРАНИЧЕННОЙ ОТВЕТСТВЕННОСТЬЮ "АВТО ЦЕНТР АЗОВ"</t>
  </si>
  <si>
    <t>9310004587</t>
  </si>
  <si>
    <t>1229300140145</t>
  </si>
  <si>
    <t>287524, ДОНЕЦКАЯ НАРОДНАЯ РЕСПУБЛИКА, МАРИУПОЛЬ, Г. МАРИУПОЛЬ, Г. МАРИУПОЛЬ, ПР-КТ МЕТАЛЛУРГОВ, Д. 196А</t>
  </si>
  <si>
    <t>ООО "АВТОСАЛОН "НИКА-АЗОВ"</t>
  </si>
  <si>
    <t>ОБЩЕСТВО С ОГРАНИЧЕННОЙ ОТВЕТСТВЕННОСТЬЮ "АВТОСАЛОН "НИКА-АЗОВ"</t>
  </si>
  <si>
    <t>9310001321</t>
  </si>
  <si>
    <t>1229300132665</t>
  </si>
  <si>
    <t>287510, ДОНЕЦКАЯ НАРОДНАЯ РЕСПУБЛИКА, МАРИУПОЛЬ, Г. МАРИУПОЛЬ, Г. МАРИУПОЛЬ, УЛ. БАХЧИВАНДЖИ, Д. 59</t>
  </si>
  <si>
    <t>ООО "АВТОТРЕК НВ"</t>
  </si>
  <si>
    <t>ОБЩЕСТВО С ОГРАНИЧЕННОЙ ОТВЕТСТВЕННОСТЬЮ "АВТОТРЕК НВ"</t>
  </si>
  <si>
    <t>9310004763</t>
  </si>
  <si>
    <t>1229300140695</t>
  </si>
  <si>
    <t>287524, ДОНЕЦКАЯ НАРОДНАЯ РЕСПУБЛИКА, МАРИУПОЛЬ, Г. МАРИУПОЛЬ, Г. МАРИУПОЛЬ, УЛ. ТОПОЛИНАЯ, Д. 55</t>
  </si>
  <si>
    <t>ООО "АЖУР"</t>
  </si>
  <si>
    <t>ОБЩЕСТВО С ОГРАНИЧЕННОЙ ОТВЕТСТВЕННОСТЬЮ "АЖУР"</t>
  </si>
  <si>
    <t>9310005005</t>
  </si>
  <si>
    <t>1229300141124</t>
  </si>
  <si>
    <t>287504, ДОНЕЦКАЯ НАРОДНАЯ РЕСПУБЛИКА, МАРИУПОЛЬ, Г. МАРИУПОЛЬ, Г. МАРИУПОЛЬ, ПР-КТ ИЛЬИЧА, Д. 2</t>
  </si>
  <si>
    <t>ООО "АЗОВ-ДНЕПРО-КОМ"</t>
  </si>
  <si>
    <t>ОБЩЕСТВО С ОГРАНИЧЕННОЙ ОТВЕТСТВЕННОСТЬЮ "АЗОВ-ДНЕПРО-КОМ"</t>
  </si>
  <si>
    <t>9310004530</t>
  </si>
  <si>
    <t>1229300140101</t>
  </si>
  <si>
    <t>287510, ДОНЕЦКАЯ НАРОДНАЯ РЕСПУБЛИКА, МАРИУПОЛЬ, Г. МАРИУПОЛЬ, Г. МАРИУПОЛЬ, УЛ. КРАСНОФЛОТСКАЯ, Д. 194</t>
  </si>
  <si>
    <t>ООО "АЗОВ-НАДИАН-СЕРВИС"</t>
  </si>
  <si>
    <t>ОБЩЕСТВО С ОГРАНИЧЕННОЙ ОТВЕТСТВЕННОСТЬЮ "АЗОВ-НАДИАН-СЕРВИС"</t>
  </si>
  <si>
    <t>9310002188</t>
  </si>
  <si>
    <t>1229300135602</t>
  </si>
  <si>
    <t>ДОНЕЦКАЯ НАРОДНАЯ РЕСПУБЛИКА, МАРИУПОЛЬ, Г. МАРИУПОЛЬ, Г. МАРИУПОЛЬ, УЛ. БРЕСТСКАЯ, Д. 91А</t>
  </si>
  <si>
    <t>ООО "АЗОВ-ЭКСКЛЮЗИВ"</t>
  </si>
  <si>
    <t>ОБЩЕСТВО С ОГРАНИЧЕННОЙ ОТВЕТСТВЕННОСТЬЮ "АЗОВ-ЭКСКЛЮЗИВ"</t>
  </si>
  <si>
    <t>9310002445</t>
  </si>
  <si>
    <t>1229300136119</t>
  </si>
  <si>
    <t>287501, ДОНЕЦКАЯ НАРОДНАЯ РЕСПУБЛИКА, МАРИУПОЛЬ, Г. МАРИУПОЛЬ, Г. МАРИУПОЛЬ, ПР-КТ ЛЕНИНА, Д. 72</t>
  </si>
  <si>
    <t>ООО "АЗОВ ВЕРФЬ"</t>
  </si>
  <si>
    <t>ОБЩЕСТВО С ОГРАНИЧЕННОЙ ОТВЕТСТВЕННОСТЬЮ "АЗОВ ВЕРФЬ"</t>
  </si>
  <si>
    <t>9310003826</t>
  </si>
  <si>
    <t>1229300139056</t>
  </si>
  <si>
    <t>ДОНЕЦКАЯ НАРОДНАЯ РЕСПУБЛИКА, МАРИУПОЛЬ, Г. МАРИУПОЛЬ, Г. МАРИУПОЛЬ, УЛ. КОНСЕРВНАЯ, Д. 30А</t>
  </si>
  <si>
    <t>ООО "АЗОВ ТРАК"</t>
  </si>
  <si>
    <t>ОБЩЕСТВО С ОГРАНИЧЕННОЙ ОТВЕТСТВЕННОСТЬЮ "АЗОВ ТРАК"</t>
  </si>
  <si>
    <t>9310004019</t>
  </si>
  <si>
    <t>1229300139309</t>
  </si>
  <si>
    <t>287512, ДОНЕЦКАЯ НАРОДНАЯ РЕСПУБЛИКА, МАРИУПОЛЬ, Г. МАРИУПОЛЬ, Г. МАРИУПОЛЬ, УЛ. 60 ЛЕТ СССР, Д. 25, КВ. 60</t>
  </si>
  <si>
    <t>ООО "АЗОВАВТОГАЗ"</t>
  </si>
  <si>
    <t>ОБЩЕСТВО С ОГРАНИЧЕННОЙ ОТВЕТСТВЕННОСТЬЮ "АЗОВАВТОГАЗ"</t>
  </si>
  <si>
    <t>9310000568</t>
  </si>
  <si>
    <t>1229300131345</t>
  </si>
  <si>
    <t>287504, ДОНЕЦКАЯ НАРОДНАЯ РЕСПУБЛИКА, МАРИУПОЛЬ, Г. МАРИУПОЛЬ, Г. МАРИУПОЛЬ, ПР-КТ ИЛЬИЧА, Д. 6А</t>
  </si>
  <si>
    <t>ООО "АЗОВБЕТОН"</t>
  </si>
  <si>
    <t>ОБЩЕСТВО С ОГРАНИЧЕННОЙ ОТВЕТСТВЕННОСТЬЮ "АЗОВБЕТОН"</t>
  </si>
  <si>
    <t>9310001794</t>
  </si>
  <si>
    <t>1229300134140</t>
  </si>
  <si>
    <t>ДОНЕЦКАЯ НАРОДНАЯ РЕСПУБЛИКА, МАРИУПОЛЬ, Г. МАРИУПОЛЬ, Г. МАРИУПОЛЬ, КВ-Л 24, Д. 4, КВ. 7</t>
  </si>
  <si>
    <t>ООО "АЗОВБУДСТИЛЬ"</t>
  </si>
  <si>
    <t>ОБЩЕСТВО С ОГРАНИЧЕННОЙ ОТВЕТСТВЕННОСТЬЮ "АЗОВБУДСТИЛЬ"</t>
  </si>
  <si>
    <t>9310000857</t>
  </si>
  <si>
    <t>1229300132126</t>
  </si>
  <si>
    <t>287541, ДОНЕЦКАЯ НАРОДНАЯ РЕСПУБЛИКА, МАРИУПОЛЬ, Г. МАРИУПОЛЬ, Г. МАРИУПОЛЬ, ПР-КТ ПОБЕДЫ, Д. 51/32, ПОМЕЩ. 58,61</t>
  </si>
  <si>
    <t>ООО "АЗОВДОРСТРОЙ"</t>
  </si>
  <si>
    <t>ОБЩЕСТВО С ОГРАНИЧЕННОЙ ОТВЕТСТВЕННОСТЬЮ "АЗОВДОРСТРОЙ"</t>
  </si>
  <si>
    <t>9310002220</t>
  </si>
  <si>
    <t>1229300135382</t>
  </si>
  <si>
    <t>287501, ДОНЕЦКАЯ НАРОДНАЯ РЕСПУБЛИКА, МАРИУПОЛЬ, Г. МАРИУПОЛЬ, Г. МАРИУПОЛЬ, ТЕР. ШМИДТА ГАВАНЬ, Д. 32</t>
  </si>
  <si>
    <t>ООО "АЗОВКООПЕРАЦИЯ"</t>
  </si>
  <si>
    <t>ОБЩЕСТВО С ОГРАНИЧЕННОЙ ОТВЕТСТВЕННОСТЬЮ "АЗОВКООПЕРАЦИЯ"</t>
  </si>
  <si>
    <t>9310004548</t>
  </si>
  <si>
    <t>1229300140178</t>
  </si>
  <si>
    <t>287501, ДОНЕЦКАЯ НАРОДНАЯ РЕСПУБЛИКА, МАРИУПОЛЬ, Г. МАРИУПОЛЬ, Г. МАРИУПОЛЬ, ПР-КТ МЕТАЛЛУРГОВ, Д. 64</t>
  </si>
  <si>
    <t>ООО "АЗОВМОНОЛИТ"</t>
  </si>
  <si>
    <t>ОБЩЕСТВО С ОГРАНИЧЕННОЙ ОТВЕТСТВЕННОСТЬЮ "АЗОВМОНОЛИТ"</t>
  </si>
  <si>
    <t>9310005799</t>
  </si>
  <si>
    <t>1229300142488</t>
  </si>
  <si>
    <t>ООО "АЗОВНЕФТЕПРОДУКТ"</t>
  </si>
  <si>
    <t>ОБЩЕСТВО С ОГРАНИЧЕННОЙ ОТВЕТСТВЕННОСТЬЮ "АЗОВНЕФТЕПРОДУКТ"</t>
  </si>
  <si>
    <t>9310005069</t>
  </si>
  <si>
    <t>1229300141267</t>
  </si>
  <si>
    <t>287557, ДОНЕЦКАЯ НАРОДНАЯ РЕСПУБЛИКА, МАРИУПОЛЬ, Г. МАРИУПОЛЬ, Г. МАРИУПОЛЬ, УЛ. ТАГАНРОГСКАЯ, Д. 341</t>
  </si>
  <si>
    <t>ООО "АЗОВПРОД"</t>
  </si>
  <si>
    <t>ОБЩЕСТВО С ОГРАНИЧЕННОЙ ОТВЕТСТВЕННОСТЬЮ "АЗОВПРОД"</t>
  </si>
  <si>
    <t>9310004330</t>
  </si>
  <si>
    <t>1229300139892</t>
  </si>
  <si>
    <t>287512, ДОНЕЦКАЯ НАРОДНАЯ РЕСПУБЛИКА, МАРИУПОЛЬ, Г. МАРИУПОЛЬ, Г. МАРИУПОЛЬ, УЛ. УРИЦКОГО, Д. 112, КВ. 54</t>
  </si>
  <si>
    <t>ООО "АЗОВПРОМСНАБ"</t>
  </si>
  <si>
    <t>ОБЩЕСТВО С ОГРАНИЧЕННОЙ ОТВЕТСТВЕННОСТЬЮ "АЗОВПРОМСНАБ"</t>
  </si>
  <si>
    <t>9310003022</t>
  </si>
  <si>
    <t>1229300137571</t>
  </si>
  <si>
    <t>ООО "АЗОВПРОМТЕХСЕРВИС"</t>
  </si>
  <si>
    <t>ОБЩЕСТВО С ОГРАНИЧЕННОЙ ОТВЕТСТВЕННОСТЬЮ "АЗОВПРОМТЕХСЕРВИС"</t>
  </si>
  <si>
    <t>9310002050</t>
  </si>
  <si>
    <t>1229300135129</t>
  </si>
  <si>
    <t>287501, ДОНЕЦКАЯ НАРОДНАЯ РЕСПУБЛИКА, МАРИУПОЛЬ, Г. МАРИУПОЛЬ, Г. МАРИУПОЛЬ, Б-Р БОГДАНА ХМЕЛЬНИЦКОГО, Д. 41</t>
  </si>
  <si>
    <t>ООО "АЗОВСВЯЗЬСТРОЙ",</t>
  </si>
  <si>
    <t>ОБЩЕСТВО С ОГРАНИЧЕННОЙ ОТВЕТСТВЕННОСТЬЮ "АЗОВСВЯЗЬСТРОЙ"</t>
  </si>
  <si>
    <t>9310001339</t>
  </si>
  <si>
    <t>1229300132742</t>
  </si>
  <si>
    <t>287521, ДОНЕЦКАЯ НАРОДНАЯ РЕСПУБЛИКА, МАРИУПОЛЬ, Г. МАРИУПОЛЬ, Г. МАРИУПОЛЬ, УЛ. ОЧАКОВСКАЯ, Д. 29</t>
  </si>
  <si>
    <t>ООО "АЗОВСКАЯ РАДУГА"</t>
  </si>
  <si>
    <t>ОБЩЕСТВО С ОГРАНИЧЕННОЙ ОТВЕТСТВЕННОСТЬЮ "АЗОВСКАЯ РАДУГА"</t>
  </si>
  <si>
    <t>9310003390</t>
  </si>
  <si>
    <t>1229300138220</t>
  </si>
  <si>
    <t>ДОНЕЦКАЯ НАРОДНАЯ РЕСПУБЛИКА, МАРИУПОЛЬ, Г. МАРИУПОЛЬ, Г. МАРИУПОЛЬ, УЛ. МОРСКИХ ДЕСАНТНИКОВ, Д. 17/4, ОФИС 12</t>
  </si>
  <si>
    <t>ООО "АЗОВСТАЛЕЦ"</t>
  </si>
  <si>
    <t>ОБЩЕСТВО С ОГРАНИЧЕННОЙ ОТВЕТСТВЕННОСТЬЮ "АЗОВСТАЛЕЦ"</t>
  </si>
  <si>
    <t>9310005693</t>
  </si>
  <si>
    <t>1229300142246</t>
  </si>
  <si>
    <t>287512, ДОНЕЦКАЯ НАРОДНАЯ РЕСПУБЛИКА, МАРИУПОЛЬ, Г. МАРИУПОЛЬ, Г. МАРИУПОЛЬ, Ш. СТАРОКРЫМСКОЕ, Д. 11А</t>
  </si>
  <si>
    <t>ООО "ИДЕЯ"</t>
  </si>
  <si>
    <t>ОБЩЕСТВО С ОГРАНИЧЕННОЙ ОТВЕТСТВЕННОСТЬЮ "ИДЕЯ"</t>
  </si>
  <si>
    <t>9310004097</t>
  </si>
  <si>
    <t>1229300139320</t>
  </si>
  <si>
    <t>287526, ДОНЕЦКАЯ НАРОДНАЯ РЕСПУБЛИКА, МАРИУПОЛЬ, Г. МАРИУПОЛЬ, Г. МАРИУПОЛЬ, ПР-КТ ПОБЕДЫ, Д. 100</t>
  </si>
  <si>
    <t>ООО "ИЗДАТЕЛЬСКИЙ ДОМ 7Я"</t>
  </si>
  <si>
    <t>ОБЩЕСТВО С ОГРАНИЧЕННОЙ ОТВЕТСТВЕННОСТЬЮ "ИЗДАТЕЛЬСКИЙ ДОМ 7Я"</t>
  </si>
  <si>
    <t>9310003350</t>
  </si>
  <si>
    <t>1229300138066</t>
  </si>
  <si>
    <t>287501, ДОНЕЦКАЯ НАРОДНАЯ РЕСПУБЛИКА, МАРИУПОЛЬ, Г. МАРИУПОЛЬ, Г. МАРИУПОЛЬ, УЛ. ТОРГОВАЯ, Д. 10</t>
  </si>
  <si>
    <t>ООО "БАВИСС"</t>
  </si>
  <si>
    <t>ОБЩЕСТВО С ОГРАНИЧЕННОЙ ОТВЕТСТВЕННОСТЬЮ "БАВИСС"</t>
  </si>
  <si>
    <t>9310003270</t>
  </si>
  <si>
    <t>1229300138099</t>
  </si>
  <si>
    <t>287549, ДОНЕЦКАЯ НАРОДНАЯ РЕСПУБЛИКА, МАРИУПОЛЬ, Г. МАРИУПОЛЬ, Г. МАРИУПОЛЬ, УЛ. КИРПИЧНАЯ, Д. 48</t>
  </si>
  <si>
    <t>ООО "ПП "ДЗВА"</t>
  </si>
  <si>
    <t>ОБЩЕСТВО С ОГРАНИЧЕННОЙ ОТВЕТСТВЕННОСТЬЮ "ПРОИЗВОДСТВЕННОЕ ПРЕДПРИЯТИЕ "ДОНЕЦКИЙ ЗАВОД ВЫСОКОВОЛЬТНОЙ АППАРАТУРЫ"</t>
  </si>
  <si>
    <t>9310004555</t>
  </si>
  <si>
    <t>1229300140167</t>
  </si>
  <si>
    <t>287524, ДОНЕЦКАЯ НАРОДНАЯ РЕСПУБЛИКА, МАРИУПОЛЬ, Г. МАРИУПОЛЬ, Г. МАРИУПОЛЬ, ПР-КТ МЕТАЛЛУРГОВ, Д. 139А</t>
  </si>
  <si>
    <t>ООО "А.П.П."</t>
  </si>
  <si>
    <t>ОБЩЕСТВО С ОГРАНИЧЕННОЙ ОТВЕТСТВЕННОСТЬЮ "АЗОВ ПРОЕКТ ПЛЮС"</t>
  </si>
  <si>
    <t>9310006048</t>
  </si>
  <si>
    <t>1229300168327</t>
  </si>
  <si>
    <t>287537, ДОНЕЦКАЯ НАРОДНАЯ РЕСПУБЛИКА, МАРИУПОЛЬ, Г. МАРИУПОЛЬ, Г. МАРИУПОЛЬ, УЛ. ЗЕЛИНСКОГО, Г-Ж 37</t>
  </si>
  <si>
    <t>ООО "АЛАТ ПЛЮС"</t>
  </si>
  <si>
    <t>ОБЩЕСТВО С ОГРАНИЧЕННОЙ ОТВЕТСТВЕННОСТЬЮ "АЛАТ ПЛЮС"</t>
  </si>
  <si>
    <t>9310001314</t>
  </si>
  <si>
    <t>1229300132698</t>
  </si>
  <si>
    <t>287510, ДОНЕЦКАЯ НАРОДНАЯ РЕСПУБЛИКА, МАРИУПОЛЬ, Г. МАРИУПОЛЬ, Г. МАРИУПОЛЬ, УЛ. КРАСНОФЛОТСКАЯ, Д. 165</t>
  </si>
  <si>
    <t>ООО "АЛЕКО-СЕРВИС ВД"</t>
  </si>
  <si>
    <t>ОБЩЕСТВО С ОГРАНИЧЕННОЙ ОТВЕТСТВЕННОСТЬЮ "АЛЕКО-СЕРВИС ВД"</t>
  </si>
  <si>
    <t>9310003618</t>
  </si>
  <si>
    <t>1229300138583</t>
  </si>
  <si>
    <t>287510, ДОНЕЦКАЯ НАРОДНАЯ РЕСПУБЛИКА, МАРИУПОЛЬ, Г. МАРИУПОЛЬ, Г. МАРИУПОЛЬ, УЛ. КРАСНОФЛОТСКАЯ, Д. 128А</t>
  </si>
  <si>
    <t>ООО "АЛЕНКОМП-БЕТОН"</t>
  </si>
  <si>
    <t>ОБЩЕСТВО С ОГРАНИЧЕННОЙ ОТВЕТСТВЕННОСТЬЮ "АЛЕНКОМП-БЕТОН"</t>
  </si>
  <si>
    <t>9310005781</t>
  </si>
  <si>
    <t>1229300142400</t>
  </si>
  <si>
    <t>ООО "АЛЬФА-СТРАЖ ЛТД"</t>
  </si>
  <si>
    <t>ОБЩЕСТВО С ОГРАНИЧЕННОЙ ОТВЕТСТВЕННОСТЬЮ "АЛЬФА-СТРАЖ ЛТД"</t>
  </si>
  <si>
    <t>9310001106</t>
  </si>
  <si>
    <t>1229300132357</t>
  </si>
  <si>
    <t>287537, ДОНЕЦКАЯ НАРОДНАЯ РЕСПУБЛИКА, МАРИУПОЛЬ, Г. МАРИУПОЛЬ, Г. МАРИУПОЛЬ, УЛ. ЗЕЛИНСКОГО, Д. 87</t>
  </si>
  <si>
    <t>ООО "АЛЬФА-СТРАЖ"</t>
  </si>
  <si>
    <t>ОБЩЕСТВО С ОГРАНИЧЕННОЙ ОТВЕТСТВЕННОСТЬЮ "АЛЬФА-СТРАЖ"</t>
  </si>
  <si>
    <t>9310001040</t>
  </si>
  <si>
    <t>1229300132478</t>
  </si>
  <si>
    <t>ООО "АЛЬФА ТЕХСТРОЙ"</t>
  </si>
  <si>
    <t>ОБЩЕСТВО С ОГРАНИЧЕННОЙ ОТВЕТСТВЕННОСТЬЮ "АЛЬФА ТЕХСТРОЙ"</t>
  </si>
  <si>
    <t>9310005076</t>
  </si>
  <si>
    <t>1229300141190</t>
  </si>
  <si>
    <t>287501, ДОНЕЦКАЯ НАРОДНАЯ РЕСПУБЛИКА, МАРИУПОЛЬ, Г. МАРИУПОЛЬ, Г. МАРИУПОЛЬ, УЛ. ЛАВИЦКОГО, Д. 9, ПОМЕЩ. 81</t>
  </si>
  <si>
    <t>ООО "АЛЬФАПРОДУКТ"</t>
  </si>
  <si>
    <t>ОБЩЕСТВО С ОГРАНИЧЕННОЙ ОТВЕТСТВЕННОСТЬЮ "АЛЬФАПРОДУКТ"</t>
  </si>
  <si>
    <t>9310001113</t>
  </si>
  <si>
    <t>1229300132467</t>
  </si>
  <si>
    <t>287501, ДОНЕЦКАЯ НАРОДНАЯ РЕСПУБЛИКА, МАРИУПОЛЬ, Г. МАРИУПОЛЬ, Г. МАРИУПОЛЬ, УЛ. ЭНГЕЛЬСА, Д. 35А, КВ. 13</t>
  </si>
  <si>
    <t>ООО "АМЕТИСТ-КОМПАНИ"</t>
  </si>
  <si>
    <t>ОБЩЕСТВО С ОГРАНИЧЕННОЙ ОТВЕТСТВЕННОСТЬЮ "АМЕТИСТ-КОМПАНИ"</t>
  </si>
  <si>
    <t>9310003858</t>
  </si>
  <si>
    <t>1229300138968</t>
  </si>
  <si>
    <t>287549, ДОНЕЦКАЯ НАРОДНАЯ РЕСПУБЛИКА, МАРИУПОЛЬ, Г. МАРИУПОЛЬ, Г. МАРИУПОЛЬ, Б-Р ШЕВЧЕНКО, Д. 80</t>
  </si>
  <si>
    <t>ООО "АРООЗ"</t>
  </si>
  <si>
    <t>ОБЩЕСТВО С ОГРАНИЧЕННОЙ ОТВЕТСТВЕННОСТЬЮ "АЗОВСКОЕ РЕГИОНАЛЬНОЕ ОБЩЕСТВО ОФИЦЕРОВ ЗАПАСА"</t>
  </si>
  <si>
    <t>9310001586</t>
  </si>
  <si>
    <t>1229300133237</t>
  </si>
  <si>
    <t>ДОНЕЦКАЯ НАРОДНАЯ РЕСПУБЛИКА, МАРИУПОЛЬ, Г. МАРИУПОЛЬ, Г. МАРИУПОЛЬ, УЛ. ИТАЛЬЯНСКАЯ, Д. 107, КВ. 9</t>
  </si>
  <si>
    <t>ООО "АРТФУЛ"</t>
  </si>
  <si>
    <t>ОБЩЕСТВО С ОГРАНИЧЕННОЙ ОТВЕТСТВЕННОСТЬЮ "АРТФУЛ"</t>
  </si>
  <si>
    <t>9310001201</t>
  </si>
  <si>
    <t>1229300132599</t>
  </si>
  <si>
    <t>ДОНЕЦКАЯ НАРОДНАЯ РЕСПУБЛИКА, МАРИУПОЛЬ, Г. МАРИУПОЛЬ, Г. МАРИУПОЛЬ, УЛ. УРИЦКОГО, Д. 116А</t>
  </si>
  <si>
    <t>ООО "АТГ-КОНСТРАКШИН"</t>
  </si>
  <si>
    <t>ОБЩЕСТВО С ОГРАНИЧЕННОЙ ОТВЕТСТВЕННОСТЬЮ "АТГ-КОНСТРАКШИН"</t>
  </si>
  <si>
    <t>9310004918</t>
  </si>
  <si>
    <t>1229300140871</t>
  </si>
  <si>
    <t>287541, ДОНЕЦКАЯ НАРОДНАЯ РЕСПУБЛИКА, МАРИУПОЛЬ, Г. МАРИУПОЛЬ, Г. МАРИУПОЛЬ, УЛ. ТАГАНРОГСКАЯ, Д. 50</t>
  </si>
  <si>
    <t>ООО "АТЕЛЬЕ ЛЮКС"</t>
  </si>
  <si>
    <t>ОБЩЕСТВО С ОГРАНИЧЕННОЙ ОТВЕТСТВЕННОСТЬЮ "АТЕЛЬЕ ЛЮКС"</t>
  </si>
  <si>
    <t>9310001963</t>
  </si>
  <si>
    <t>1229300134766</t>
  </si>
  <si>
    <t>287549, ДОНЕЦКАЯ НАРОДНАЯ РЕСПУБЛИКА, МАРИУПОЛЬ, Г. МАРИУПОЛЬ, Г. МАРИУПОЛЬ, ПР-КТ МЕТАЛЛУРГОВ, Д. 94</t>
  </si>
  <si>
    <t>ООО "БИЗНЕС-ПАРТНЕР"</t>
  </si>
  <si>
    <t>ОБЩЕСТВО С ОГРАНИЧЕННОЙ ОТВЕТСТВЕННОСТЬЮ "БИЗНЕС-ПАРТНЕР"</t>
  </si>
  <si>
    <t>9310002438</t>
  </si>
  <si>
    <t>1229300136031</t>
  </si>
  <si>
    <t>287510, ДОНЕЦКАЯ НАРОДНАЯ РЕСПУБЛИКА, МАРИУПОЛЬ, Г. МАРИУПОЛЬ, Г. МАРИУПОЛЬ, УЛ. ЧЕРНОМОРСКАЯ, Д. 31</t>
  </si>
  <si>
    <t>ООО "БИМАКС"</t>
  </si>
  <si>
    <t>ОБЩЕСТВО С ОГРАНИЧЕННОЙ ОТВЕТСТВЕННОСТЬЮ "БИМАКС"</t>
  </si>
  <si>
    <t>9310005887</t>
  </si>
  <si>
    <t>1229300142720</t>
  </si>
  <si>
    <t>287537, ДОНЕЦКАЯ НАРОДНАЯ РЕСПУБЛИКА, МАРИУПОЛЬ, Г. МАРИУПОЛЬ, Г. МАРИУПОЛЬ, ПР-КТ ЛЕНИНА, Д. 110</t>
  </si>
  <si>
    <t>ООО "БОЛИС"</t>
  </si>
  <si>
    <t>ОБЩЕСТВО С ОГРАНИЧЕННОЙ ОТВЕТСТВЕННОСТЬЮ "БОЛИС"</t>
  </si>
  <si>
    <t>9310001057</t>
  </si>
  <si>
    <t>1229300132401</t>
  </si>
  <si>
    <t>287541, ДОНЕЦКАЯ НАРОДНАЯ РЕСПУБЛИКА, МАРИУПОЛЬ, Г. МАРИУПОЛЬ, Г. МАРИУПОЛЬ, УЛ. ПАШКОВСКОГО, Д. 18, КВ. 8</t>
  </si>
  <si>
    <t>ООО "ВАБИКОМ"</t>
  </si>
  <si>
    <t>ОБЩЕСТВО С ОГРАНИЧЕННОЙ ОТВЕТСТВЕННОСТЬЮ "ВАБИКОМ"</t>
  </si>
  <si>
    <t>9310002340</t>
  </si>
  <si>
    <t>1229300135712</t>
  </si>
  <si>
    <t>287549, ДОНЕЦКАЯ НАРОДНАЯ РЕСПУБЛИКА, МАРИУПОЛЬ, Г. МАРИУПОЛЬ, Г. МАРИУПОЛЬ, УЛ. АРТЁМА, Д. 48, ПОМЕЩ. 119</t>
  </si>
  <si>
    <t>ООО "ВЕСТКОМ"</t>
  </si>
  <si>
    <t>ОБЩЕСТВО С ОГРАНИЧЕННОЙ ОТВЕТСТВЕННОСТЬЮ "ВЕСТКОМ"</t>
  </si>
  <si>
    <t>9310005301</t>
  </si>
  <si>
    <t>1229300141707</t>
  </si>
  <si>
    <t>287510, ДОНЕЦКАЯ НАРОДНАЯ РЕСПУБЛИКА, МАРИУПОЛЬ, Г. МАРИУПОЛЬ, Г. МАРИУПОЛЬ, УЛ. АДМИРАЛА ЛУНИНА, Д. 85, КОМ. 510</t>
  </si>
  <si>
    <t>ООО "ВИОЛ"</t>
  </si>
  <si>
    <t>ОБЩЕСТВО С ОГРАНИЧЕННОЙ ОТВЕТСТВЕННОСТЬЮ "ВИОЛ"</t>
  </si>
  <si>
    <t>9310003304</t>
  </si>
  <si>
    <t>1229300138110</t>
  </si>
  <si>
    <t>287504, ДОНЕЦКАЯ НАРОДНАЯ РЕСПУБЛИКА, МАРИУПОЛЬ, Г. МАРИУПОЛЬ, Г. МАРИУПОЛЬ, УЛ. МАКАРА МАЗАЯ, Д. 11</t>
  </si>
  <si>
    <t>ООО "ВИПЭКС"</t>
  </si>
  <si>
    <t>ОБЩЕСТВО С ОГРАНИЧЕННОЙ ОТВЕТСТВЕННОСТЬЮ "ВИПЭКС"</t>
  </si>
  <si>
    <t>9310000945</t>
  </si>
  <si>
    <t>1229300132192</t>
  </si>
  <si>
    <t>287510, ДОНЕЦКАЯ НАРОДНАЯ РЕСПУБЛИКА, МАРИУПОЛЬ, Г. МАРИУПОЛЬ, Г. МАРИУПОЛЬ, ПР-КТ ЛУНИНА, Д. 27</t>
  </si>
  <si>
    <t>ООО "ВИРАЖ-АВТО"</t>
  </si>
  <si>
    <t>ОБЩЕСТВО С ОГРАНИЧЕННОЙ ОТВЕТСТВЕННОСТЬЮ "ВИРАЖ-АВТО"</t>
  </si>
  <si>
    <t>9310000769</t>
  </si>
  <si>
    <t>1229300131906</t>
  </si>
  <si>
    <t>287549, ДОНЕЦКАЯ НАРОДНАЯ РЕСПУБЛИКА, МАРИУПОЛЬ, Г. МАРИУПОЛЬ, Г. МАРИУПОЛЬ, УЛ. КОТЛЯРЕВСКОГО, Д. 34</t>
  </si>
  <si>
    <t>ООО "ДАРЫ ПРИРОДЫ"</t>
  </si>
  <si>
    <t>ОБЩЕСТВО С ОГРАНИЧЕННОЙ ОТВЕТСТВЕННОСТЬЮ "ДАРЫ ПРИРОДЫ"</t>
  </si>
  <si>
    <t>9310001089</t>
  </si>
  <si>
    <t>1229300132490</t>
  </si>
  <si>
    <t>287537, ДОНЕЦКАЯ НАРОДНАЯ РЕСПУБЛИКА, МАРИУПОЛЬ, Г. МАРИУПОЛЬ, Г. МАРИУПОЛЬ, ПР-КТ ЛЕНИНА, Д. 100</t>
  </si>
  <si>
    <t>ООО "ДОНБАСС-ЗДОРОВЬЕ"</t>
  </si>
  <si>
    <t>ОБЩЕСТВО С ОГРАНИЧЕННОЙ ОТВЕТСТВЕННОСТЬЮ "ДОНБАСС-ЗДОРОВЬЕ"</t>
  </si>
  <si>
    <t>9310004065</t>
  </si>
  <si>
    <t>1229300139298</t>
  </si>
  <si>
    <t>287501, ДОНЕЦКАЯ НАРОДНАЯ РЕСПУБЛИКА, МАРИУПОЛЬ, Г. МАРИУПОЛЬ, Г. МАРИУПОЛЬ, УЛ. ВАРГАНОВА, Д. 5, ПОМЕЩ. 6</t>
  </si>
  <si>
    <t>ООО "ДОРСТРОЙИНДУСТРИЯ"</t>
  </si>
  <si>
    <t>ОБЩЕСТВО С ОГРАНИЧЕННОЙ ОТВЕТСТВЕННОСТЬЮ "ДОРСТРОЙИНДУСТРИЯ"</t>
  </si>
  <si>
    <t>9310000215</t>
  </si>
  <si>
    <t>1229300128507</t>
  </si>
  <si>
    <t>ООО "ДРГ"</t>
  </si>
  <si>
    <t>ОБЩЕСТВО С ОГРАНИЧЕННОЙ ОТВЕТСТВЕННОСТЬЮ "ДОНБАССРЕМГИДРАВЛИКА"</t>
  </si>
  <si>
    <t>9310004266</t>
  </si>
  <si>
    <t>1229300139672</t>
  </si>
  <si>
    <t>287501, ДОНЕЦКАЯ НАРОДНАЯ РЕСПУБЛИКА, МАРИУПОЛЬ, Г. МАРИУПОЛЬ, Г. МАРИУПОЛЬ, ПР-КТ ЛЕНИНА, Д. 85Б, КВ. 68</t>
  </si>
  <si>
    <t>ООО "ЕВРОИМПРЕЗА-АЗОВ"</t>
  </si>
  <si>
    <t>ОБЩЕСТВО С ОГРАНИЧЕННОЙ ОТВЕТСТВЕННОСТЬЮ "ЕВРОИМПРЕЗА-АЗОВ"</t>
  </si>
  <si>
    <t>9310000832</t>
  </si>
  <si>
    <t>1229300132214</t>
  </si>
  <si>
    <t>287549, ДОНЕЦКАЯ НАРОДНАЯ РЕСПУБЛИКА, МАРИУПОЛЬ, Г. МАРИУПОЛЬ, Г. МАРИУПОЛЬ, ПР-КТ МЕТАЛЛУРГОВ, Д. 88</t>
  </si>
  <si>
    <t>ООО "ЖЕМЧУЖИНА ПРИАЗОВЬЯ"</t>
  </si>
  <si>
    <t>ОБЩЕСТВО С ОГРАНИЧЕННОЙ ОТВЕТСТВЕННОСТЬЮ "ЖЕМЧУЖИНА ПРИАЗОВЬЯ"</t>
  </si>
  <si>
    <t>9310002572</t>
  </si>
  <si>
    <t>1229300136240</t>
  </si>
  <si>
    <t>287549, ДОНЕЦКАЯ НАРОДНАЯ РЕСПУБЛИКА, МАРИУПОЛЬ, Г. МАРИУПОЛЬ, Г. МАРИУПОЛЬ, УЛ. КИРОВА, Д. 193</t>
  </si>
  <si>
    <t>ЖСК "ФЛОТСКИЙ"</t>
  </si>
  <si>
    <t>ЖИЛИЩНО-СТРОИТЕЛЬНЫЙ КООПЕРАТИВ "ФЛОТСКИЙ"</t>
  </si>
  <si>
    <t>9310001970</t>
  </si>
  <si>
    <t>1229300134777</t>
  </si>
  <si>
    <t>287510, ДОНЕЦКАЯ НАРОДНАЯ РЕСПУБЛИКА, МАРИУПОЛЬ, Г. МАРИУПОЛЬ, Г. МАРИУПОЛЬ, УЛ. КРАСНОФЛОТСКАЯ, Д. 159А</t>
  </si>
  <si>
    <t>ООО "ЗВЕЗДНАЯ ГРУППА"</t>
  </si>
  <si>
    <t>ОБЩЕСТВО С ОГРАНИЧЕННОЙ ОТВЕТСТВЕННОСТЬЮ "ЗВЕЗДНАЯ ГРУППА"</t>
  </si>
  <si>
    <t>9310005615</t>
  </si>
  <si>
    <t>1229300142103</t>
  </si>
  <si>
    <t>ООО "ИВКО"</t>
  </si>
  <si>
    <t>ОБЩЕСТВО С ОГРАНИЧЕННОЙ ОТВЕТСТВЕННОСТЬЮ "ИВКО"</t>
  </si>
  <si>
    <t>9310001755</t>
  </si>
  <si>
    <t>1229300133864</t>
  </si>
  <si>
    <t>287501, ДОНЕЦКАЯ НАРОДНАЯ РЕСПУБЛИКА, МАРИУПОЛЬ, Г. МАРИУПОЛЬ, Г. МАРИУПОЛЬ, ПР-КТ МЕТАЛЛУРГОВ, Д. 45/9</t>
  </si>
  <si>
    <t>ООО "ИНДАСТРИАЛ ЭССЕТС"</t>
  </si>
  <si>
    <t>ОБЩЕСТВО С ОГРАНИЧЕННОЙ ОТВЕТСТВЕННОСТЬЮ "ИНДАСТРИАЛ ЭССЕТС"</t>
  </si>
  <si>
    <t>9310005527</t>
  </si>
  <si>
    <t>1229300142059</t>
  </si>
  <si>
    <t>ООО "ИНТЕРФОН"</t>
  </si>
  <si>
    <t>ОБЩЕСТВО С ОГРАНИЧЕННОЙ ОТВЕТСТВЕННОСТЬЮ "ИНТЕРФОН"</t>
  </si>
  <si>
    <t>9310004731</t>
  </si>
  <si>
    <t>1229300140585</t>
  </si>
  <si>
    <t>287501, ДОНЕЦКАЯ НАРОДНАЯ РЕСПУБЛИКА, МАРИУПОЛЬ, Г. МАРИУПОЛЬ, Г. МАРИУПОЛЬ, УЛ. АПАТОВА, Д. 136А</t>
  </si>
  <si>
    <t>ООО "КАНТРИ-ЭКО"</t>
  </si>
  <si>
    <t>ОБЩЕСТВО С ОГРАНИЧЕННОЙ ОТВЕТСТВЕННОСТЬЮ "КАНТРИ-ЭКО"</t>
  </si>
  <si>
    <t>9310003921</t>
  </si>
  <si>
    <t>1229300138980</t>
  </si>
  <si>
    <t>ДОНЕЦКАЯ НАРОДНАЯ РЕСПУБЛИКА, МАРИУПОЛЬ, Г. МАРИУПОЛЬ, Г. МАРИУПОЛЬ, УЛ. ЭНГЕЛЬСА, Д. 26/2, КОМ. 23</t>
  </si>
  <si>
    <t>ООО "КИС"</t>
  </si>
  <si>
    <t>ОБЩЕСТВО С ОГРАНИЧЕННОЙ ОТВЕТСТВЕННОСТЬЮ "КИС"</t>
  </si>
  <si>
    <t>9310003216</t>
  </si>
  <si>
    <t>1229300137868</t>
  </si>
  <si>
    <t>287512, ДОНЕЦКАЯ НАРОДНАЯ РЕСПУБЛИКА, МАРИУПОЛЬ, Г. МАРИУПОЛЬ, Г. МАРИУПОЛЬ, УЛ. 60 ЛЕТ СССР, Д. 8, КВ. 68</t>
  </si>
  <si>
    <t>ООО "КЛИМ"</t>
  </si>
  <si>
    <t>ОБЩЕСТВО С ОГРАНИЧЕННОЙ ОТВЕТСТВЕННОСТЬЮ "КЛИМ"</t>
  </si>
  <si>
    <t>9310000790</t>
  </si>
  <si>
    <t>1229300132093</t>
  </si>
  <si>
    <t>287521, ДОНЕЦКАЯ НАРОДНАЯ РЕСПУБЛИКА, МАРИУПОЛЬ, Г. МАРИУПОЛЬ, Г. МАРИУПОЛЬ, УЛ. БОЛЬШАЯ МОРСКАЯ, Д. 56</t>
  </si>
  <si>
    <t>ООО "КЛИНИКА ЗДОРОВЬЯ ПЛЮС"</t>
  </si>
  <si>
    <t>ОБЩЕСТВО С ОГРАНИЧЕННОЙ ОТВЕТСТВЕННОСТЬЮ "КЛИНИКА ЗДОРОВЬЯ ПЛЮС"</t>
  </si>
  <si>
    <t>9310004442</t>
  </si>
  <si>
    <t>1229300139914</t>
  </si>
  <si>
    <t>287501, ДОНЕЦКАЯ НАРОДНАЯ РЕСПУБЛИКА, МАРИУПОЛЬ, Г. МАРИУПОЛЬ, Г. МАРИУПОЛЬ, УЛ. ПИСАРЕВА, Д. 28</t>
  </si>
  <si>
    <t>ООО "КОМПАНИЯ "СТЮАРД"</t>
  </si>
  <si>
    <t>ОБЩЕСТВО С ОГРАНИЧЕННОЙ ОТВЕТСТВЕННОСТЬЮ "КОМПАНИЯ "СТЮАРД"</t>
  </si>
  <si>
    <t>9310000342</t>
  </si>
  <si>
    <t>1229300130630</t>
  </si>
  <si>
    <t>287526, ДОНЕЦКАЯ НАРОДНАЯ РЕСПУБЛИКА, МАРИУПОЛЬ, Г. МАРИУПОЛЬ, Г. МАРИУПОЛЬ, УЛ. ТАГАНРОГСКАЯ, Д. 5</t>
  </si>
  <si>
    <t>ООО "КОННОСПОРТИВНЫЙ КЛУБ "ПАЛАДИН"</t>
  </si>
  <si>
    <t>ОБЩЕСТВО С ОГРАНИЧЕННОЙ ОТВЕТСТВЕННОСТЬЮ "КОННОСПОРТИВНЫЙ КЛУБ "ПАЛАДИН"</t>
  </si>
  <si>
    <t>9310001258</t>
  </si>
  <si>
    <t>1229300132720</t>
  </si>
  <si>
    <t>287501, ДОНЕЦКАЯ НАРОДНАЯ РЕСПУБЛИКА, МАРИУПОЛЬ, Г. МАРИУПОЛЬ, Г. МАРИУПОЛЬ, УЛ. ГОТФЕЙСКАЯ, Д. 5</t>
  </si>
  <si>
    <t>ООО "КТ БУД"</t>
  </si>
  <si>
    <t>ОБЩЕСТВО С ОГРАНИЧЕННОЙ ОТВЕТСТВЕННОСТЬЮ "КТ БУД"</t>
  </si>
  <si>
    <t>9310006062</t>
  </si>
  <si>
    <t>1229300168558</t>
  </si>
  <si>
    <t>287524, ДОНЕЦКАЯ НАРОДНАЯ РЕСПУБЛИКА, МАРИУПОЛЬ, Г. МАРИУПОЛЬ, Г. МАРИУПОЛЬ, УЛ. ОКТЯБРЬСКАЯ, Д. 48А</t>
  </si>
  <si>
    <t>ООО "ЛАЗУРЬ"</t>
  </si>
  <si>
    <t>ОБЩЕСТВО С ОГРАНИЧЕННОЙ ОТВЕТСТВЕННОСТЬЮ "ЛАЗУРЬ"</t>
  </si>
  <si>
    <t>9310001868</t>
  </si>
  <si>
    <t>1229300134194</t>
  </si>
  <si>
    <t>287526, ДОНЕЦКАЯ НАРОДНАЯ РЕСПУБЛИКА, МАРИУПОЛЬ, Г. МАРИУПОЛЬ, Г. МАРИУПОЛЬ, УЛ. МОСКОВСКАЯ, Д. 68</t>
  </si>
  <si>
    <t>ООО "ЛАУРА"</t>
  </si>
  <si>
    <t>ОБЩЕСТВО С ОГРАНИЧЕННОЙ ОТВЕТСТВЕННОСТЬЮ "ЛАУРА"</t>
  </si>
  <si>
    <t>9310000705</t>
  </si>
  <si>
    <t>1229300132005</t>
  </si>
  <si>
    <t>287549, ДОНЕЦКАЯ НАРОДНАЯ РЕСПУБЛИКА, МАРИУПОЛЬ, Г. МАРИУПОЛЬ, Г. МАРИУПОЛЬ, Б-Р ШЕВЧЕНКО, Д. 226А</t>
  </si>
  <si>
    <t>ООО "ЛДО "ЛЕКАРЬ"</t>
  </si>
  <si>
    <t>ОБЩЕСТВО С ОГРАНИЧЕННОЙ ОТВЕТСТВЕННОСТЬЮ "ЛЕЧЕБНО-ДИАГНОСТИЧЕСКОЕ ОБЪЕДИНЕНИЕ "ЛЕКАРЬ"</t>
  </si>
  <si>
    <t>9310004756</t>
  </si>
  <si>
    <t>1229300140596</t>
  </si>
  <si>
    <t>287537, ДОНЕЦКАЯ НАРОДНАЯ РЕСПУБЛИКА, МАРИУПОЛЬ, Г. МАРИУПОЛЬ, Г. МАРИУПОЛЬ, ПР-КТ ЛЕНИНА, Д. 104</t>
  </si>
  <si>
    <t>ООО "ЛИГОС ДЕВЕЛОПМЕНТ"</t>
  </si>
  <si>
    <t>ОБЩЕСТВО С ОГРАНИЧЕННОЙ ОТВЕТСТВЕННОСТЬЮ "ЛИГОС ДЕВЕЛОПМЕНТ"</t>
  </si>
  <si>
    <t>9310001811</t>
  </si>
  <si>
    <t>1229300134139</t>
  </si>
  <si>
    <t>287513, ДОНЕЦКАЯ НАРОДНАЯ РЕСПУБЛИКА, МАРИУПОЛЬ, Г. МАРИУПОЛЬ, Г. МАРИУПОЛЬ, КВ-Л 26, Д. 1, ПОМЕЩ. 36</t>
  </si>
  <si>
    <t>ООО "ЛИТИЙ-М"</t>
  </si>
  <si>
    <t>ОБЩЕСТВО С ОГРАНИЧЕННОЙ ОТВЕТСТВЕННОСТЬЮ "ЛИТИЙ-М"</t>
  </si>
  <si>
    <t>9310006168</t>
  </si>
  <si>
    <t>1229300177567</t>
  </si>
  <si>
    <t>287549, ДОНЕЦКАЯ НАРОДНАЯ РЕСПУБЛИКА, МАРИУПОЛЬ, Г. МАРИУПОЛЬ, Г. МАРИУПОЛЬ, ПР-КТ МЕТАЛЛУРГОВ, Д. 97, КОМ. 12/1</t>
  </si>
  <si>
    <t>ООО "ЛИТОС-М"</t>
  </si>
  <si>
    <t>ОБЩЕСТВО С ОГРАНИЧЕННОЙ ОТВЕТСТВЕННОСТЬЮ "ЛИТОС-М"</t>
  </si>
  <si>
    <t>9310005446</t>
  </si>
  <si>
    <t>1229300142081</t>
  </si>
  <si>
    <t>287524, ДОНЕЦКАЯ НАРОДНАЯ РЕСПУБЛИКА, МАРИУПОЛЬ, Г. МАРИУПОЛЬ, Г. МАРИУПОЛЬ, ПР-КТ КАРПОВА, Д. 72</t>
  </si>
  <si>
    <t>ООО "М.Д.Л."</t>
  </si>
  <si>
    <t>ОБЩЕСТВО С ОГРАНИЧЕННОЙ ОТВЕТСТВЕННОСТЬЮ "М.Д.Л."</t>
  </si>
  <si>
    <t>9310005936</t>
  </si>
  <si>
    <t>1229300142708</t>
  </si>
  <si>
    <t>287512, ДОНЕЦКАЯ НАРОДНАЯ РЕСПУБЛИКА, МАРИУПОЛЬ, Г. МАРИУПОЛЬ, Г. МАРИУПОЛЬ, УЛ. ГРАНИТНАЯ, Д. 138, КВ. 3</t>
  </si>
  <si>
    <t>ООО "МАЙСКОЕ"</t>
  </si>
  <si>
    <t>ОБЩЕСТВО С ОГРАНИЧЕННОЙ ОТВЕТСТВЕННОСТЬЮ "МАЙСКОЕ"</t>
  </si>
  <si>
    <t>9310002710</t>
  </si>
  <si>
    <t>1229300136691</t>
  </si>
  <si>
    <t>287501, ДОНЕЦКАЯ НАРОДНАЯ РЕСПУБЛИКА, МАРИУПОЛЬ, Г. МАРИУПОЛЬ, Г. МАРИУПОЛЬ, ПР-КТ ЛЕНИНА, Д. 98</t>
  </si>
  <si>
    <t>ООО "МАРИКОМ ИЛД"</t>
  </si>
  <si>
    <t>ОБЩЕСТВО С ОГРАНИЧЕННОЙ ОТВЕТСТВЕННОСТЬЮ "МАРИКОМ ИЛД"</t>
  </si>
  <si>
    <t>9310005774</t>
  </si>
  <si>
    <t>1229300142477</t>
  </si>
  <si>
    <t>ДОНЕЦКАЯ НАРОДНАЯ РЕСПУБЛИКА, МАРИУПОЛЬ, Г. МАРИУПОЛЬ, Г. МАРИУПОЛЬ, УЛ. КУЗНЕЧНАЯ, Д. 7</t>
  </si>
  <si>
    <t>ООО "МАРИНЕР"</t>
  </si>
  <si>
    <t>ОБЩЕСТВО С ОГРАНИЧЕННОЙ ОТВЕТСТВЕННОСТЬЮ "МАРИНЕР"</t>
  </si>
  <si>
    <t>9310005862</t>
  </si>
  <si>
    <t>1229300142741</t>
  </si>
  <si>
    <t>287512, ДОНЕЦКАЯ НАРОДНАЯ РЕСПУБЛИКА, МАРИУПОЛЬ, Г. МАРИУПОЛЬ, Г. МАРИУПОЛЬ, Ш. ВОЛОДАРСКОЕ, Д. 1</t>
  </si>
  <si>
    <t>ООО "МАРИНФО"</t>
  </si>
  <si>
    <t>ОБЩЕСТВО С ОГРАНИЧЕННОЙ ОТВЕТСТВЕННОСТЬЮ "МАРИНФО"</t>
  </si>
  <si>
    <t>9310002607</t>
  </si>
  <si>
    <t>1229300136405</t>
  </si>
  <si>
    <t>287549, ДОНЕЦКАЯ НАРОДНАЯ РЕСПУБЛИКА, МАРИУПОЛЬ, Г. МАРИУПОЛЬ, Г. МАРИУПОЛЬ, Б-Р ШЕВЧЕНКО, Д. 317</t>
  </si>
  <si>
    <t>ООО "МПС"</t>
  </si>
  <si>
    <t>ОБЩЕСТВО С ОГРАНИЧЕННОЙ ОТВЕТСТВЕННОСТЬЮ "МПС"</t>
  </si>
  <si>
    <t>9310000582</t>
  </si>
  <si>
    <t>1229300131290</t>
  </si>
  <si>
    <t>ДОНЕЦКАЯ НАРОДНАЯ РЕСПУБЛИКА, МАРИУПОЛЬ, Г. МАРИУПОЛЬ, Г. МАРИУПОЛЬ, ПР-КТ ЛЕНИНА, Д. 68Б</t>
  </si>
  <si>
    <t>ООО ТК "ТАНДЕМ"</t>
  </si>
  <si>
    <t>ОБЩЕСТВО С ОГРАНИЧЕННОЙ ОТВЕТСТВЕННОСТЬЮ ТОРГОВАЯ КОМПАНИЯ "ТАНДЕМ"</t>
  </si>
  <si>
    <t>9310001561</t>
  </si>
  <si>
    <t>1229300133369</t>
  </si>
  <si>
    <t>287524, ДОНЕЦКАЯ НАРОДНАЯ РЕСПУБЛИКА, МАРИУПОЛЬ, Г. МАРИУПОЛЬ, Г. МАРИУПОЛЬ, УЛ. 26 БАКИНСКИХ КОМИССАРОВ, Д. 24</t>
  </si>
  <si>
    <t>ООО "МЕДЛАЙФ АВ"</t>
  </si>
  <si>
    <t>ОБЩЕСТВО С ОГРАНИЧЕННОЙ ОТВЕТСТВЕННОСТЬЮ "МЕДЛАЙФ АВ"</t>
  </si>
  <si>
    <t>9310004844</t>
  </si>
  <si>
    <t>1229300141014</t>
  </si>
  <si>
    <t>ДОНЕЦКАЯ НАРОДНАЯ РЕСПУБЛИКА, МАРИУПОЛЬ, Г. МАРИУПОЛЬ, Г. МАРИУПОЛЬ, ПЕР. ТРАНСПОРТНЫЙ, Д. 6</t>
  </si>
  <si>
    <t>ООО "МЕТИДА"</t>
  </si>
  <si>
    <t>ОБЩЕСТВО С ОГРАНИЧЕННОЙ ОТВЕТСТВЕННОСТЬЮ "МЕТИД'А"</t>
  </si>
  <si>
    <t>9310004700</t>
  </si>
  <si>
    <t>1229300140475</t>
  </si>
  <si>
    <t>287524, ДОНЕЦКАЯ НАРОДНАЯ РЕСПУБЛИКА, МАРИУПОЛЬ, Г. МАРИУПОЛЬ, Г. МАРИУПОЛЬ, УЛ. НОВОТРУБНАЯ, Д. 29</t>
  </si>
  <si>
    <t>ООО "МИРТ"</t>
  </si>
  <si>
    <t>ОБЩЕСТВО С ОГРАНИЧЕННОЙ ОТВЕТСТВЕННОСТЬЮ "МИРТ"</t>
  </si>
  <si>
    <t>9310002371</t>
  </si>
  <si>
    <t>1229300135734</t>
  </si>
  <si>
    <t>287554, ДОНЕЦКАЯ НАРОДНАЯ РЕСПУБЛИКА, МАРИУПОЛЬ, Г. МАРИУПОЛЬ, Г. МАРИУПОЛЬ, ПР-КТ СТРОИТЕЛЕЙ, Д. 161А, ОФИС 19</t>
  </si>
  <si>
    <t>ООО "МК-АРИЗОНА"</t>
  </si>
  <si>
    <t>ОБЩЕСТВА С ОГРАНИЧЕННОЙ ОТВЕТСТВЕННОСТЬЮ "МК-АРИЗОНА"</t>
  </si>
  <si>
    <t>9310001716</t>
  </si>
  <si>
    <t>1229300133875</t>
  </si>
  <si>
    <t>287526, ДОНЕЦКАЯ НАРОДНАЯ РЕСПУБЛИКА, МАРИУПОЛЬ, Г. МАРИУПОЛЬ, Г. МАРИУПОЛЬ, ПР-КТ ПОБЕДЫ, Д. 101, КВ. 21</t>
  </si>
  <si>
    <t>ООО "МОНОЛИТ-1"</t>
  </si>
  <si>
    <t>ОБЩЕСТВО С ОГРАНИЧЕННОЙ ОТВЕТСТВЕННОСТЬЮ "МОНОЛИТ-1"</t>
  </si>
  <si>
    <t>9310001402</t>
  </si>
  <si>
    <t>1229300132929</t>
  </si>
  <si>
    <t>287526, ДОНЕЦКАЯ НАРОДНАЯ РЕСПУБЛИКА, МАРИУПОЛЬ, Г. МАРИУПОЛЬ, Г. МАРИУПОЛЬ, УЛ. ТАГАНРОГСКАЯ, Д. 36</t>
  </si>
  <si>
    <t>ООО "МПП "ЭНЕРГОСПЕЦМАШ"</t>
  </si>
  <si>
    <t>ОБЩЕСТВО С ОГРАНИЧЕННОЙ ОТВЕТСТВЕННОСТЬЮ "МНОГОПРОФИЛЬНОЕ ПРОИЗВОДСТВЕННОЕ ПРЕДПРИЯТИЕ "ЭНЕРГОСПЕЦМАШ"</t>
  </si>
  <si>
    <t>9310003230</t>
  </si>
  <si>
    <t>1229300138000</t>
  </si>
  <si>
    <t>ООО "МРЗ"</t>
  </si>
  <si>
    <t>ОБЩЕСТВО С ОГРАНИЧЕННОЙ ОТВЕТСТВЕННОСТЬЮ "МАШРЕМЗАВОД"</t>
  </si>
  <si>
    <t>9310003431</t>
  </si>
  <si>
    <t>1229300138396</t>
  </si>
  <si>
    <t>287526, ДОНЕЦКАЯ НАРОДНАЯ РЕСПУБЛИКА, МАРИУПОЛЬ, Г. МАРИУПОЛЬ, Г. МАРИУПОЛЬ, УЛ. ПОДГОРНАЯ, Д. 9</t>
  </si>
  <si>
    <t>ООО "МРИЯ-ФАРМ"</t>
  </si>
  <si>
    <t>ОБЩЕСТВО С ОГРАНИЧЕННОЙ ОТВЕТСТВЕННОСТЬЮ "МРИЯ-ФАРМ"</t>
  </si>
  <si>
    <t>9310004690</t>
  </si>
  <si>
    <t>1229300140618</t>
  </si>
  <si>
    <t>287501, ДОНЕЦКАЯ НАРОДНАЯ РЕСПУБЛИКА, МАРИУПОЛЬ, Г. МАРИУПОЛЬ, Г. МАРИУПОЛЬ, ПР-КТ МЕТАЛЛУРГОВ, Д. 27, ПОМЕЩ. 137</t>
  </si>
  <si>
    <t>ООО "НА БУЛЬВАРЕ"</t>
  </si>
  <si>
    <t>ОБЩЕСТВО С ОГРАНИЧЕННОЙ ОТВЕТСТВЕННОСТЬЮ "НА БУЛЬВАРЕ"</t>
  </si>
  <si>
    <t>9310003689</t>
  </si>
  <si>
    <t>1229300138726</t>
  </si>
  <si>
    <t>287541, ДОНЕЦКАЯ НАРОДНАЯ РЕСПУБЛИКА, МАРИУПОЛЬ, Г. МАРИУПОЛЬ, Г. МАРИУПОЛЬ, УЛ. ПАШКОВСКОГО, Д. 45</t>
  </si>
  <si>
    <t>ООО "НЕДВИЖИМОСТЬ МАРИУПОЛЯ"</t>
  </si>
  <si>
    <t>ОБЩЕСТВО С ОГРАНИЧЕННОЙ ОТВЕТСТВЕННОСТЬЮ "НЕДВИЖИМОСТЬ МАРИУПОЛЯ"</t>
  </si>
  <si>
    <t>9310001265</t>
  </si>
  <si>
    <t>1229300132621</t>
  </si>
  <si>
    <t>287501, ДОНЕЦКАЯ НАРОДНАЯ РЕСПУБЛИКА, МАРИУПОЛЬ, Г. МАРИУПОЛЬ, Г. МАРИУПОЛЬ, УЛ. ВАРГАНОВА, Д. 5</t>
  </si>
  <si>
    <t>ООО "НПКМ"</t>
  </si>
  <si>
    <t>ОБЩЕСТВО С ОГРАНИЧЕННОЙ ОТВЕТСТВЕННОСТЬЮ "НПКМ"</t>
  </si>
  <si>
    <t>9310003311</t>
  </si>
  <si>
    <t>1229300138088</t>
  </si>
  <si>
    <t>287510, ДОНЕЦКАЯ НАРОДНАЯ РЕСПУБЛИКА, МАРИУПОЛЬ, Г. МАРИУПОЛЬ, Г. МАРИУПОЛЬ, ПР-КТ НАХИМОВА, Д. 124</t>
  </si>
  <si>
    <t>ООО "НЬЮ СТЕП"</t>
  </si>
  <si>
    <t>ОБЩЕСТВО С ОГРАНИЧЕННОЙ ОТВЕТСТВЕННОСТЬЮ "НЬЮ СТЕП"</t>
  </si>
  <si>
    <t>9310000984</t>
  </si>
  <si>
    <t>1229300132313</t>
  </si>
  <si>
    <t>287521, ДОНЕЦКАЯ НАРОДНАЯ РЕСПУБЛИКА, МАРИУПОЛЬ, Г. МАРИУПОЛЬ, Г. МАРИУПОЛЬ, УЛ. ЛАТЫШЕВА, Д. 39, КВ. 102</t>
  </si>
  <si>
    <t>ООО "ОКФ "ЦИТАДЕЛЬ"</t>
  </si>
  <si>
    <t>ОБЩЕСТВО С ОГРАНИЧЕННОЙ ОТВЕТСТВЕННОСТЬЮ "ОРГАНИЗАЦИОННО-КОММЕРЧЕСКАЯ  ФИРМА "ЦИТАДЕЛЬ"</t>
  </si>
  <si>
    <t>9310004481</t>
  </si>
  <si>
    <t>1229300140035</t>
  </si>
  <si>
    <t>287501, ДОНЕЦКАЯ НАРОДНАЯ РЕСПУБЛИКА, МАРИУПОЛЬ, Г. МАРИУПОЛЬ, Г. МАРИУПОЛЬ, ПР-КТ СТРОИТЕЛЕЙ, Д. 60</t>
  </si>
  <si>
    <t>ООО "ПОЛАР"</t>
  </si>
  <si>
    <t>ОБЩЕСТВО С ОГРАНИЧЕННОЙ ОТВЕТСТВЕННОСТЬЮ "ПОЛАР"</t>
  </si>
  <si>
    <t>9310000335</t>
  </si>
  <si>
    <t>1229300130355</t>
  </si>
  <si>
    <t>ООО "ПОЛЕСЬЕ"</t>
  </si>
  <si>
    <t>ОБЩЕСТВО С ОГРАНИЧЕННОЙ ОТВЕТСТВЕННОСТЬЮ "ПОЛЕСЬЕ"</t>
  </si>
  <si>
    <t>9310004795</t>
  </si>
  <si>
    <t>1229300140794</t>
  </si>
  <si>
    <t>287524, ДОНЕЦКАЯ НАРОДНАЯ РЕСПУБЛИКА, МАРИУПОЛЬ, Г. МАРИУПОЛЬ, Г. МАРИУПОЛЬ, УЛ. ПОКРЫШКИНА, Д. 20</t>
  </si>
  <si>
    <t>ООО "ПОЛИПРОМ ТРЕЙД"</t>
  </si>
  <si>
    <t>ОБЩЕСТВО С ОГРАНИЧЕННОЙ ОТВЕТСТВЕННОСТЬЮ "ПОЛИПРОМ ТРЕЙД"</t>
  </si>
  <si>
    <t>9310004185</t>
  </si>
  <si>
    <t>1229300139463</t>
  </si>
  <si>
    <t>287524, ДОНЕЦКАЯ НАРОДНАЯ РЕСПУБЛИКА, МАРИУПОЛЬ, Г. МАРИУПОЛЬ, Г. МАРИУПОЛЬ, УЛ. ПУШКИНА, Д. 74Б</t>
  </si>
  <si>
    <t>ООО "ПРОМРЕММОРСТРОЙ"</t>
  </si>
  <si>
    <t>ОБЩЕСТВО С ОГРАНИЧЕННОЙ ОТВЕТСТВЕННОСТЬЮ "ПРОМРЕММОРСТРОЙ"</t>
  </si>
  <si>
    <t>9310001219</t>
  </si>
  <si>
    <t>1229300132588</t>
  </si>
  <si>
    <t>287504, ДОНЕЦКАЯ НАРОДНАЯ РЕСПУБЛИКА, МАРИУПОЛЬ, Г. МАРИУПОЛЬ, Г. МАРИУПОЛЬ, УЛ. МАРТЕНОВСКАЯ, Д. 7</t>
  </si>
  <si>
    <t>ООО "ПРОТЕЙ"</t>
  </si>
  <si>
    <t>ОБЩЕСТВО С ОГРАНИЧЕННОЙ ОТВЕТСТВЕННОСТЬЮ "ПРОТЕЙ"</t>
  </si>
  <si>
    <t>9310003865</t>
  </si>
  <si>
    <t>1229300138957</t>
  </si>
  <si>
    <t>287510, ДОНЕЦКАЯ НАРОДНАЯ РЕСПУБЛИКА, МАРИУПОЛЬ, Г. МАРИУПОЛЬ, Г. МАРИУПОЛЬ, УЛ. КРАСНОФЛОТСКАЯ, Д. 125</t>
  </si>
  <si>
    <t>ООО "ПРОФ-МАР"</t>
  </si>
  <si>
    <t>ОБЩЕСТВО С ОГРАНИЧЕННОЙ ОТВЕТСТВЕННОСТЬЮ "ПРОФ-МАР"</t>
  </si>
  <si>
    <t>9310005809</t>
  </si>
  <si>
    <t>1229300142411</t>
  </si>
  <si>
    <t>287501, ДОНЕЦКАЯ НАРОДНАЯ РЕСПУБЛИКА, МАРИУПОЛЬ, Г. МАРИУПОЛЬ, Г. МАРИУПОЛЬ, ПР-КТ МЕТАЛЛУРГОВ, Д. 45/9, ПОМЕЩ. 72</t>
  </si>
  <si>
    <t>ООО "РМЦ "АЗОВ"</t>
  </si>
  <si>
    <t>ОБЩЕСТВО С ОГРАНИЧЕННОЙ ОТВЕТСТВЕННОСТЬЮ "РЕМОНТНО-МЕХАНИЧЕСКИЙ ЦЕНТР "АЗОВ"</t>
  </si>
  <si>
    <t>9310005100</t>
  </si>
  <si>
    <t>1229300141355</t>
  </si>
  <si>
    <t>287510, ДОНЕЦКАЯ НАРОДНАЯ РЕСПУБЛИКА, МАРИУПОЛЬ, Г. МАРИУПОЛЬ, Г. МАРИУПОЛЬ, УЛ. КРАСНОФЛОТСКАЯ, Д. 200</t>
  </si>
  <si>
    <t>ООО "РОЛИМ"</t>
  </si>
  <si>
    <t>ОБЩЕСТВО С ОГРАНИЧЕННОЙ ОТВЕТСТВЕННОСТЬЮ "РОЛИМ"</t>
  </si>
  <si>
    <t>9310005164</t>
  </si>
  <si>
    <t>1229300141542</t>
  </si>
  <si>
    <t>287526, ДОНЕЦКАЯ НАРОДНАЯ РЕСПУБЛИКА, МАРИУПОЛЬ, Г. МАРИУПОЛЬ, Г. МАРИУПОЛЬ, УЛ. ОЛИМПИЙСКАЯ, Д. 104</t>
  </si>
  <si>
    <t>ООО "САМ ЛТД"</t>
  </si>
  <si>
    <t>ОБЩЕСТВО С ОГРАНИЧЕННОЙ ОТВЕТСТВЕННОСТЬЮ "САМ ЛТД"</t>
  </si>
  <si>
    <t>9310002646</t>
  </si>
  <si>
    <t>1229300136350</t>
  </si>
  <si>
    <t>287512, ДОНЕЦКАЯ НАРОДНАЯ РЕСПУБЛИКА, МАРИУПОЛЬ, Г. МАРИУПОЛЬ, Г. МАРИУПОЛЬ, УЛ. КУПРИНА, Д. 84</t>
  </si>
  <si>
    <t>ООО "СВЕТЛЯЧОК"</t>
  </si>
  <si>
    <t>ОБЩЕСТВО С ОГРАНИЧЕННОЙ ОТВЕТСТВЕННОСТЬЮ "СВЕТЛЯЧОК"</t>
  </si>
  <si>
    <t>9310004900</t>
  </si>
  <si>
    <t>1229300140838</t>
  </si>
  <si>
    <t>287549, ДОНЕЦКАЯ НАРОДНАЯ РЕСПУБЛИКА, МАРИУПОЛЬ, Г. МАРИУПОЛЬ, Г. МАРИУПОЛЬ, УЛ. АРТЁМА, Д. 48</t>
  </si>
  <si>
    <t>ООО "СЕЙФОРТ"</t>
  </si>
  <si>
    <t>ОБЩЕСТВО С ОГРАНИЧЕННОЙ ОТВЕТСТВЕННОСТЬЮ "СЕЙФОРТ"</t>
  </si>
  <si>
    <t>9310001674</t>
  </si>
  <si>
    <t>1229300133567</t>
  </si>
  <si>
    <t>287501, ДОНЕЦКАЯ НАРОДНАЯ РЕСПУБЛИКА, МАРИУПОЛЬ, Г. МАРИУПОЛЬ, Г. МАРИУПОЛЬ, УЛ. ЭНГЕЛЬСА, Д. 26, ОФИС 4</t>
  </si>
  <si>
    <t>ООО "СИА ЛАЙФ"</t>
  </si>
  <si>
    <t>ОБЩЕСТВО С ОГРАНИЧЕННОЙ ОТВЕТСТВЕННОСТЬЮ "СИА ЛАЙФ"</t>
  </si>
  <si>
    <t>9310004241</t>
  </si>
  <si>
    <t>1229300139573</t>
  </si>
  <si>
    <t>287549, ДОНЕЦКАЯ НАРОДНАЯ РЕСПУБЛИКА, МАРИУПОЛЬ, Г. МАРИУПОЛЬ, Г. МАРИУПОЛЬ, Б-Р ШЕВЧЕНКО, Д. 295А</t>
  </si>
  <si>
    <t>ООО "СИНЕМА ЭССЕТС"</t>
  </si>
  <si>
    <t>ОБЩЕСТВО С ОГРАНИЧЕННОЙ ОТВЕТСТВЕННОСТЬЮ "СИНЕМА ЭССЕТС"</t>
  </si>
  <si>
    <t>9310005492</t>
  </si>
  <si>
    <t>1229300142048</t>
  </si>
  <si>
    <t>ООО "СК "ЕВРОПА"</t>
  </si>
  <si>
    <t>ОБЩЕСТВО С ОГРАНИЧЕННОЙ ОТВЕТСТВЕННОСТЬЮ "СТРОИТЕЛЬНАЯ КОМПАНИЯ "ЕВРОПА"</t>
  </si>
  <si>
    <t>9310004361</t>
  </si>
  <si>
    <t>1229300139848</t>
  </si>
  <si>
    <t>287554, ДОНЕЦКАЯ НАРОДНАЯ РЕСПУБЛИКА, МАРИУПОЛЬ, Г. МАРИУПОЛЬ, Г. МАРИУПОЛЬ, ПР-КТ СТРОИТЕЛЕЙ, Д. 150, КВ. 84</t>
  </si>
  <si>
    <t>ООО "СЛИПХАУС"</t>
  </si>
  <si>
    <t>ОБЩЕСТВО С ОГРАНИЧЕННОЙ ОТВЕТСТВЕННОСТЬЮ "СЛИПХАУС"</t>
  </si>
  <si>
    <t>9310006136</t>
  </si>
  <si>
    <t>1229300177435</t>
  </si>
  <si>
    <t>287537, ДОНЕЦКАЯ НАРОДНАЯ РЕСПУБЛИКА, МАРИУПОЛЬ, Г. МАРИУПОЛЬ, Г. МАРИУПОЛЬ, УЛ. КАРЛА ЛИБКНЕХТА, Д. 177, ОФИС 101</t>
  </si>
  <si>
    <t>ООО "СОВА-БЕРДЯНСК"</t>
  </si>
  <si>
    <t>ОБЩЕСТВО С ОГРАНИЧЕННОЙ ОТВЕТСТВЕННОСТЬЮ "СОВА-БЕРДЯНСК"</t>
  </si>
  <si>
    <t>9310003294</t>
  </si>
  <si>
    <t>1229300138154</t>
  </si>
  <si>
    <t>287501, ДОНЕЦКАЯ НАРОДНАЯ РЕСПУБЛИКА, МАРИУПОЛЬ, Г. МАРИУПОЛЬ, Г. МАРИУПОЛЬ, Б-Р ПРИМОРСКИЙ, Д. 27Б</t>
  </si>
  <si>
    <t>ООО "СОТТА-МАРКЕТ"</t>
  </si>
  <si>
    <t>ОБЩЕСТВО С ОГРАНИЧЕННОЙ ОТВЕТСТВЕННОСТЬЮ "СОТТА-МАРКЕТ"</t>
  </si>
  <si>
    <t>9310004643</t>
  </si>
  <si>
    <t>1229300140255</t>
  </si>
  <si>
    <t>ООО "СОФТ-АРТ"</t>
  </si>
  <si>
    <t>ОБЩЕСТВО С ОГРАНИЧЕННОЙ ОТВЕТСТВЕННОСТЬЮ "СОФТ-АРТ"</t>
  </si>
  <si>
    <t>9310000494</t>
  </si>
  <si>
    <t>1229300131202</t>
  </si>
  <si>
    <t>287554, ДОНЕЦКАЯ НАРОДНАЯ РЕСПУБЛИКА, МАРИУПОЛЬ, Г. МАРИУПОЛЬ, Г. МАРИУПОЛЬ, УЛ. ТОПОЛИНАЯ, Д. 2А</t>
  </si>
  <si>
    <t>ООО "СПЕЦТЕХТРАНС"</t>
  </si>
  <si>
    <t>ОБЩЕСТВО С ОГРАНИЧЕННОЙ ОТВЕТСТВЕННОСТЬЮ "СПЕЦТЕХТРАНС"</t>
  </si>
  <si>
    <t>9310001360</t>
  </si>
  <si>
    <t>1229300132764</t>
  </si>
  <si>
    <t>287501, ДОНЕЦКАЯ НАРОДНАЯ РЕСПУБЛИКА, МАРИУПОЛЬ, Г. МАРИУПОЛЬ, Г. МАРИУПОЛЬ, ТЕР. ШМИДТА ГАВАНЬ, Д. 1</t>
  </si>
  <si>
    <t>ООО "СТЕКЛОСЕРВИС"</t>
  </si>
  <si>
    <t>ОБЩЕСТВО С ОГРАНИЧЕННОЙ ОТВЕТСТВЕННОСТЬЮ "СТЕКЛОСЕРВИС"</t>
  </si>
  <si>
    <t>9310003551</t>
  </si>
  <si>
    <t>1229300138473</t>
  </si>
  <si>
    <t>287501, ДОНЕЦКАЯ НАРОДНАЯ РЕСПУБЛИКА, МАРИУПОЛЬ, Г. МАРИУПОЛЬ, Г. МАРИУПОЛЬ, ТЕР. ШМИДТА ГАВАНЬ, Д. 12</t>
  </si>
  <si>
    <t>ООО "СТЕЛЛА МАРИС"</t>
  </si>
  <si>
    <t>ОБЩЕСТВО С ОГРАНИЧЕННОЙ ОТВЕТСТВЕННОСТЬЮ "СТЕЛЛА МАРИС"</t>
  </si>
  <si>
    <t>9310001233</t>
  </si>
  <si>
    <t>1229300132577</t>
  </si>
  <si>
    <t>287549, ДОНЕЦКАЯ НАРОДНАЯ РЕСПУБЛИКА, МАРИУПОЛЬ, Г. МАРИУПОЛЬ, Г. МАРИУПОЛЬ, Б-Р ШЕВЧЕНКО, Д. 262А</t>
  </si>
  <si>
    <t>ООО "СТРОЙГАЗТЕПЛОАВТОМАТИКА"</t>
  </si>
  <si>
    <t>ОБЩЕСТВО С ОГРАНИЧЕННОЙ ОТВЕТСТВЕННОСТЬЮ "СТРОЙГАЗТЕПЛОАВТОМАТИКА"</t>
  </si>
  <si>
    <t>9310003978</t>
  </si>
  <si>
    <t>1229300139188</t>
  </si>
  <si>
    <t>287501, ДОНЕЦКАЯ НАРОДНАЯ РЕСПУБЛИКА, МАРИУПОЛЬ, Г. МАРИУПОЛЬ, Г. МАРИУПОЛЬ, ПР-КТ ЛЕНИНА, Д. 1, КАБ. 227</t>
  </si>
  <si>
    <t>ООО "СТРОЙМАШПРОЕКТ"</t>
  </si>
  <si>
    <t>ОБЩЕСТВО С ОГРАНИЧЕННОЙ ОТВЕТСТВЕННОСТЬЮ "СТРОЙМАШПРОЕКТ"</t>
  </si>
  <si>
    <t>9310006150</t>
  </si>
  <si>
    <t>1229300177501</t>
  </si>
  <si>
    <t>287510, ДОНЕЦКАЯ НАРОДНАЯ РЕСПУБЛИКА, МАРИУПОЛЬ, Г. МАРИУПОЛЬ, Г. МАРИУПОЛЬ, ПР-КТ СТРОИТЕЛЕЙ, Д. 2</t>
  </si>
  <si>
    <t>ООО "ТЕХМАШ-СТРОЙ"</t>
  </si>
  <si>
    <t>ОБЩЕСТВО С ОГРАНИЧЕННОЙ ОТВЕТСТВЕННОСТЬЮ "ТЕХМАШ-СТРОЙ"</t>
  </si>
  <si>
    <t>9310002893</t>
  </si>
  <si>
    <t>1229300137296</t>
  </si>
  <si>
    <t>ООО "ТЕХНИЧЕСКИЕ МАТЕРИАЛЫ"</t>
  </si>
  <si>
    <t>ОБЩЕСТВО С ОГРАНИЧЕННОЙ ОТВЕТСТВЕННОСТЬЮ "ТЕХНИЧЕСКИЕ МАТЕРИАЛЫ"</t>
  </si>
  <si>
    <t>9310003488</t>
  </si>
  <si>
    <t>1229300138385</t>
  </si>
  <si>
    <t>287526, ДОНЕЦКАЯ НАРОДНАЯ РЕСПУБЛИКА, МАРИУПОЛЬ, Г. МАРИУПОЛЬ, Г. МАРИУПОЛЬ, УЛ. ОЛИМПИЙСКАЯ, Д. 79, КВ. 24</t>
  </si>
  <si>
    <t>ООО "ТЕХПРОМАВТОТРАНС"</t>
  </si>
  <si>
    <t>ОБЩЕСТВО С ОГРАНИЧЕННОЙ ОТВЕТСТВЕННОСТЬЮ "ТЕХПРОМАВТОТРАНС"</t>
  </si>
  <si>
    <t>9310001515</t>
  </si>
  <si>
    <t>1229300132940</t>
  </si>
  <si>
    <t>287501, ДОНЕЦКАЯ НАРОДНАЯ РЕСПУБЛИКА, МАРИУПОЛЬ, Г. МАРИУПОЛЬ, Г. МАРИУПОЛЬ, УЛ. ЭНГЕЛЬСА, Д. 26, ОФИС 21/1</t>
  </si>
  <si>
    <t>ООО "ТК "ЗАСТАВА"</t>
  </si>
  <si>
    <t>ОБЩЕСТВО С ОГРАНИЧЕННОЙ ОТВЕТСТВЕННОСТЬЮ "ТОРГОВЫЙ КОМПЛЕКС "ЗАСТАВА"</t>
  </si>
  <si>
    <t>9310005502</t>
  </si>
  <si>
    <t>1229300141949</t>
  </si>
  <si>
    <t>ООО "ТОРГМОРТРАНС" АМП</t>
  </si>
  <si>
    <t>ОБЩЕСТВО С ОГРАНИЧЕННОЙ ОТВЕТСТВЕННОСТЬЮ "ТОРГМОРТРАНС" АЗОВСКОГО МОРСКОГО ПАРОХОДСТВА</t>
  </si>
  <si>
    <t>9310000938</t>
  </si>
  <si>
    <t>1229300132159</t>
  </si>
  <si>
    <t>ДОНЕЦКАЯ НАРОДНАЯ РЕСПУБЛИКА, МАРИУПОЛЬ, Г. МАРИУПОЛЬ, Г. МАРИУПОЛЬ, УЛ. ЛУНИНА, Д. 173</t>
  </si>
  <si>
    <t>ООО "ТОРГОВАЯ КОМПАНИЯ "СПМ"</t>
  </si>
  <si>
    <t>ОБЩЕСТВО С ОГРАНИЧЕННОЙ ОТВЕТСТВЕННОСТЬЮ "ТОРГОВАЯ КОМПАНИЯ "СПМ"</t>
  </si>
  <si>
    <t>9310002131</t>
  </si>
  <si>
    <t>1229300135151</t>
  </si>
  <si>
    <t>287537, ДОНЕЦКАЯ НАРОДНАЯ РЕСПУБЛИКА, МАРИУПОЛЬ, Г. МАРИУПОЛЬ, Г. МАРИУПОЛЬ, ПР-КТ ЛЕНИНА, Д. 116</t>
  </si>
  <si>
    <t>ООО "ТОРГОВАЯ ПЛОЩАДКА СТРОИТЕЛЬ"</t>
  </si>
  <si>
    <t>ОБЩЕСТВО С ОГРАНИЧЕННОЙ ОТВЕТСТВЕННОСТЬЮ "ТОРГОВАЯ ПЛОЩАДКА СТРОИТЕЛЬ"</t>
  </si>
  <si>
    <t>9310001875</t>
  </si>
  <si>
    <t>1229300134513</t>
  </si>
  <si>
    <t>287504, ДОНЕЦКАЯ НАРОДНАЯ РЕСПУБЛИКА, МАРИУПОЛЬ, Г. МАРИУПОЛЬ, Г. МАРИУПОЛЬ, ПР-КТ ИЛЬИЧА, Д. 8А</t>
  </si>
  <si>
    <t>ООО "ТОРГОВАЯ ФИРМА ДАНАЯ"</t>
  </si>
  <si>
    <t>ОБЩЕСТВО С ОГРАНИЧЕННОЙ ОТВЕТСТВЕНОТЬЮ "ТОРГОВАЯ ФИРМА ДАНАЯ"</t>
  </si>
  <si>
    <t>9310003897</t>
  </si>
  <si>
    <t>1229300138946</t>
  </si>
  <si>
    <t>287541, ДОНЕЦКАЯ НАРОДНАЯ РЕСПУБЛИКА, МАРИУПОЛЬ, Г. МАРИУПОЛЬ, Г. МАРИУПОЛЬ, ПР-КТ ПОБЕДЫ, Д. 36/23</t>
  </si>
  <si>
    <t>ООО "ТОРГТЕХНИКА"</t>
  </si>
  <si>
    <t>ОБЩЕСТВО С ОГРАНИЧЕННОЙ ОТВЕТСТВЕННОСТЬЮ "ТОРГТЕХНИКА"</t>
  </si>
  <si>
    <t>9310006055</t>
  </si>
  <si>
    <t>1229300168569</t>
  </si>
  <si>
    <t>ООО "ТРАНСМАСТЕР"</t>
  </si>
  <si>
    <t>ОБЩЕСТВО С ОГРАНИЧЕННОЙ ОТВЕТСТВЕННОСТЬЮ  "ТРАНСМАСТЕР"</t>
  </si>
  <si>
    <t>9310004001</t>
  </si>
  <si>
    <t>1229300139310</t>
  </si>
  <si>
    <t>287549, ДОНЕЦКАЯ НАРОДНАЯ РЕСПУБЛИКА, МАРИУПОЛЬ, Г. МАРИУПОЛЬ, Г. МАРИУПОЛЬ, Б-Р ШЕВЧЕНКО, Д. 303</t>
  </si>
  <si>
    <t>ООО "ТРАНСПРОГРЕСС"</t>
  </si>
  <si>
    <t>ОБЩЕСТВО С ОГРАНИЧЕННОЙ ОТВЕТСТВЕННОСТЬЮ "ТРАНСПРОГРЕСС"</t>
  </si>
  <si>
    <t>9310005566</t>
  </si>
  <si>
    <t>1229300142169</t>
  </si>
  <si>
    <t>287510, ДОНЕЦКАЯ НАРОДНАЯ РЕСПУБЛИКА, МАРИУПОЛЬ, Г. МАРИУПОЛЬ, Г. МАРИУПОЛЬ, УЛ. КРАСНОФЛОТСКАЯ, Д. 206</t>
  </si>
  <si>
    <t>ООО "ТЕХСЕРВИС"</t>
  </si>
  <si>
    <t>ОБЩЕСТВО С ОГРАНИЧЕННОЙ ОТВЕТСТВЕННОСТЬЮ "ТЕХСЕРВИС"</t>
  </si>
  <si>
    <t>9310002325</t>
  </si>
  <si>
    <t>1229300135756</t>
  </si>
  <si>
    <t>ДОНЕЦКАЯ НАРОДНАЯ РЕСПУБЛИКА, МАРИУПОЛЬ, Г. МАРИУПОЛЬ, Г. МАРИУПОЛЬ, УЛ. КУПРИНА, Д. 38Б</t>
  </si>
  <si>
    <t>ООО "ФАТАМОРГАНА"</t>
  </si>
  <si>
    <t>ОБЩЕСТВО С ОГРАНИЧЕННОЙ ОТВЕТСТВЕННОСТЬЮ "ФАТАМОРГАНА"</t>
  </si>
  <si>
    <t>9310004298</t>
  </si>
  <si>
    <t>1229300139606</t>
  </si>
  <si>
    <t>287501, ДОНЕЦКАЯ НАРОДНАЯ РЕСПУБЛИКА, МАРИУПОЛЬ, Г. МАРИУПОЛЬ, Г. МАРИУПОЛЬ, УЛ. КАРЛА ЛИБКНЕХТА, Д. 51</t>
  </si>
  <si>
    <t>ООО "ФБС.МАРКЕТ"</t>
  </si>
  <si>
    <t>ОБЩЕСТВО С ОГРАНИЧЕННОЙ ОТВЕТСТВЕННОСТЬЮ "ФБС.МАРКЕТ"</t>
  </si>
  <si>
    <t>9310003640</t>
  </si>
  <si>
    <t>1229300138803</t>
  </si>
  <si>
    <t>287554, ДОНЕЦКАЯ НАРОДНАЯ РЕСПУБЛИКА, МАРИУПОЛЬ, Г. МАРИУПОЛЬ, Г. МАРИУПОЛЬ, ПР-КТ СТРОИТЕЛЕЙ, Д. 166, ПОМЕЩ. 133</t>
  </si>
  <si>
    <t>ООО "ФИРМА "АЗОВИНТУР"</t>
  </si>
  <si>
    <t>ОБЩЕСТВО С ОГРАНИЧЕННОЙ ОТВЕТСТВЕННОСТЬЮ "ФИРМА "АЗОВИНТУР"</t>
  </si>
  <si>
    <t>9310003368</t>
  </si>
  <si>
    <t>1229300138077</t>
  </si>
  <si>
    <t>287501, ДОНЕЦКАЯ НАРОДНАЯ РЕСПУБЛИКА, МАРИУПОЛЬ, Г. МАРИУПОЛЬ, Г. МАРИУПОЛЬ, УЛ. ВАРГАНОВА, Д. 9</t>
  </si>
  <si>
    <t>ООО "ФИРМА "КВАД"</t>
  </si>
  <si>
    <t>ОБЩЕСТВО С ОГРАНИЧЕННОЙ ОТВЕТСТВЕННОСТЬЮ "ФИРМА "КВАД"</t>
  </si>
  <si>
    <t>9310005020</t>
  </si>
  <si>
    <t>1229300141212</t>
  </si>
  <si>
    <t>287524, ДОНЕЦКАЯ НАРОДНАЯ РЕСПУБЛИКА, МАРИУПОЛЬ, Г. МАРИУПОЛЬ, Г. МАРИУПОЛЬ, ПР-КТ ИЛЬИЧА, Д. 134</t>
  </si>
  <si>
    <t>ООО "ФИРМА ИНТА"</t>
  </si>
  <si>
    <t>ОБЩЕСТВО С ОГРАНИЧЕННОЙ ОТВЕТСТВЕННОСТЬЮ "ФИРМА ИНТА"</t>
  </si>
  <si>
    <t>9310004996</t>
  </si>
  <si>
    <t>1229300141135</t>
  </si>
  <si>
    <t>287510, ДОНЕЦКАЯ НАРОДНАЯ РЕСПУБЛИКА, МАРИУПОЛЬ, Г. МАРИУПОЛЬ, Г. МАРИУПОЛЬ, УЛ. СЕВЕРНАЯ, Д. 40</t>
  </si>
  <si>
    <t>ООО "ФИРМА КМК"</t>
  </si>
  <si>
    <t>ОБЩЕСТВО С ОГРАНИЧЕННОЙ ОТВЕТСТВЕННОСТЬЮ "ФИРМА КМК"</t>
  </si>
  <si>
    <t>9310003223</t>
  </si>
  <si>
    <t>1229300137626</t>
  </si>
  <si>
    <t>287510, ДОНЕЦКАЯ НАРОДНАЯ РЕСПУБЛИКА, МАРИУПОЛЬ, Г. МАРИУПОЛЬ, Г. МАРИУПОЛЬ, УЛ. КРАСНОФЛОТСКАЯ, Д. 119</t>
  </si>
  <si>
    <t>ООО "ФОЛИАНТ"</t>
  </si>
  <si>
    <t>ОБЩЕСТВО С ОГРАНИЧЕННОЙ ОТВЕТСТВЕННОСТЬЮ "ФОЛИАНТ"</t>
  </si>
  <si>
    <t>9310005118</t>
  </si>
  <si>
    <t>1229300141388</t>
  </si>
  <si>
    <t>287524, ДОНЕЦКАЯ НАРОДНАЯ РЕСПУБЛИКА, МАРИУПОЛЬ, Г. МАРИУПОЛЬ, Г. МАРИУПОЛЬ, ПР-КТ МЕТАЛЛУРГОВ, Д. 151А</t>
  </si>
  <si>
    <t>ООО "ФРАХТТРАНССЕРВИС"</t>
  </si>
  <si>
    <t>ОБЩЕСТВО С ОГРАНИЧЕННОЙ ОТВЕТСТВЕННОСТЬЮ "ФРАХТТРАНССЕРВИС"</t>
  </si>
  <si>
    <t>9310000529</t>
  </si>
  <si>
    <t>1229300131103</t>
  </si>
  <si>
    <t>287504, ДОНЕЦКАЯ НАРОДНАЯ РЕСПУБЛИКА, МАРИУПОЛЬ, Г. МАРИУПОЛЬ, Г. МАРИУПОЛЬ, УЛ. МАРТЕНОВСКАЯ, Д. 16</t>
  </si>
  <si>
    <t>ООО "ЦЕНТР ВЗАИМОДЕЙСТВИЯ "МСО ПАНАЦЕЯ"</t>
  </si>
  <si>
    <t>ОБЩЕСТВО С ОГРАНИЧЕННОЙ ОТВЕТСТВЕННОСТЬЮ "ЦЕНТР ВЗАИМОДЕЙСТВИЯ "МСО ПАНАЦЕЯ"</t>
  </si>
  <si>
    <t>9308018409</t>
  </si>
  <si>
    <t>1229300127275</t>
  </si>
  <si>
    <t>287554, ДОНЕЦКАЯ НАРОДНАЯ РЕСПУБЛИКА, МАРИУПОЛЬ, Г. МАРИУПОЛЬ, Г. МАРИУПОЛЬ, ПР-КТ СТРОИТЕЛЕЙ, Д. 161А</t>
  </si>
  <si>
    <t>ООО "ЧИСТЮЛЯ - М"</t>
  </si>
  <si>
    <t>ОБЩЕСТВО С ОГРАНИЧЕННОЙ ОТВЕТСТВЕННОСТЬЮ "ЧИСТЮЛЯ - М"</t>
  </si>
  <si>
    <t>9310001748</t>
  </si>
  <si>
    <t>1229300133787</t>
  </si>
  <si>
    <t>287501, ДОНЕЦКАЯ НАРОДНАЯ РЕСПУБЛИКА, МАРИУПОЛЬ, Г. МАРИУПОЛЬ, Г. МАРИУПОЛЬ, ПР-КТ ЛЕНИНА, Д. 57</t>
  </si>
  <si>
    <t>ООО "ЭКА ФУД"</t>
  </si>
  <si>
    <t>ОБЩЕСТВО С ОГРАНИЧЕННОЙ ОТВЕТСТВЕННОСТЬЮ "ЭКА ФУД"</t>
  </si>
  <si>
    <t>9310002798</t>
  </si>
  <si>
    <t>1229300136988</t>
  </si>
  <si>
    <t>287501, ДОНЕЦКАЯ НАРОДНАЯ РЕСПУБЛИКА, МАРИУПОЛЬ, Г. МАРИУПОЛЬ, Г. МАРИУПОЛЬ, УЛ. КАРЛА ЛИБКНЕХТА, Д. 59/51</t>
  </si>
  <si>
    <t>ООО "ЭЛИТ-ТОРГ"</t>
  </si>
  <si>
    <t>ОБЩЕСТВО С ОГРАНИЧЕННОЙ ОТВЕТСТВЕННОСТЬЮ "ЭЛИТ-ТОРГ"</t>
  </si>
  <si>
    <t>9310003576</t>
  </si>
  <si>
    <t>1229300138451</t>
  </si>
  <si>
    <t>ДОНЕЦКАЯ НАРОДНАЯ РЕСПУБЛИКА, МАРИУПОЛЬ, Г. МАРИУПОЛЬ, Г. МАРИУПОЛЬ, ПР-КТ МЕТАЛЛУРГОВ, Д. 156, ПОМЕЩ. 66</t>
  </si>
  <si>
    <t>ООО "ЭТНА"</t>
  </si>
  <si>
    <t>ОБЩЕСТВО С ОГРАНИЧЕННОЙ ОТВЕТСТВЕННОСТЬЮ "ЭТНА"</t>
  </si>
  <si>
    <t>9310000920</t>
  </si>
  <si>
    <t>1229300132269</t>
  </si>
  <si>
    <t>287642, ДОНЕЦКАЯ НАРОДНАЯ РЕСПУБЛИКА, МАРИУПОЛЬ, Г. МАРИУПОЛЬ, Г. МАРИУПОЛЬ, УЛ. ПОЧТОВАЯ, Д. 35</t>
  </si>
  <si>
    <t>ООО "ЮЖАНКА"</t>
  </si>
  <si>
    <t>ОБЩЕСТВО С ОГРАНИЧЕННОЙ ОТВЕТСТВЕННОСТЬЮ "ЮЖАНКА"</t>
  </si>
  <si>
    <t>9310001138</t>
  </si>
  <si>
    <t>1229300132434</t>
  </si>
  <si>
    <t>287513, ДОНЕЦКАЯ НАРОДНАЯ РЕСПУБЛИКА, МАРИУПОЛЬ, Г. МАРИУПОЛЬ, Г. МАРИУПОЛЬ, КВ-Л 25, Д. 3, КВ. 1</t>
  </si>
  <si>
    <t>ООО "ЮМОВИЛА"</t>
  </si>
  <si>
    <t>ОБЩЕСТВО С ОГРАНИЧЕННОЙ ОТВЕТСТВЕННОСТЬЮ "ЮМОВИЛА"</t>
  </si>
  <si>
    <t>9310001353</t>
  </si>
  <si>
    <t>1229300132786</t>
  </si>
  <si>
    <t>287512, ДОНЕЦКАЯ НАРОДНАЯ РЕСПУБЛИКА, МАРИУПОЛЬ, Г. МАРИУПОЛЬ, Г. МАРИУПОЛЬ, УЛ. 50 ЛЕТ СССР, Д. 75</t>
  </si>
  <si>
    <t>ООО "ТОРСИОН"</t>
  </si>
  <si>
    <t>ОБЩЕСТВО С ОГРАНИЧЕННОЙ ОТВЕТСТВЕННОСТЬЮ "ТОРСИОН"</t>
  </si>
  <si>
    <t>9310001480</t>
  </si>
  <si>
    <t>1229300133182</t>
  </si>
  <si>
    <t>287504, ДОНЕЦКАЯ НАРОДНАЯ РЕСПУБЛИКА, МАРИУПОЛЬ, Г. МАРИУПОЛЬ, Г. МАРИУПОЛЬ, ПР-КТ ИЛЬИЧА, Д. 75А</t>
  </si>
  <si>
    <t>ООО "АЗОВСКАЯ ТОРГОВАЯ КОМПАНИЯ"</t>
  </si>
  <si>
    <t>ОБЩЕСТВО С ОГРАНИЧЕННОЙ ОТВЕТСТВЕННОСТЬЮ "АЗОВСКАЯ ТОРГОВАЯ КОМПАНИЯ"</t>
  </si>
  <si>
    <t>9310003914</t>
  </si>
  <si>
    <t>1229300139001</t>
  </si>
  <si>
    <t>287537, ДОНЕЦКАЯ НАРОДНАЯ РЕСПУБЛИКА, МАРИУПОЛЬ, Г. МАРИУПОЛЬ, Г. МАРИУПОЛЬ, ПР-КТ СТРОИТЕЛЕЙ, Д. 108А</t>
  </si>
  <si>
    <t>ООО "АЗОВТРАНСЛОГИСТИК"</t>
  </si>
  <si>
    <t>ОБЩЕСТВО С ОГРАНИЧЕННОЙ ОТВЕТСТВЕННОСТЬЮ "АЗОВТРАНСЛОГИСТИК"</t>
  </si>
  <si>
    <t>9310005950</t>
  </si>
  <si>
    <t>1229300142807</t>
  </si>
  <si>
    <t>287537, ДОНЕЦКАЯ НАРОДНАЯ РЕСПУБЛИКА, МАРИУПОЛЬ, Г. МАРИУПОЛЬ, Г. МАРИУПОЛЬ, ПР-КТ СТРОИТЕЛЕЙ, Д. 113, КВ. 54</t>
  </si>
  <si>
    <t>ООО "ГРАНД-СГ"</t>
  </si>
  <si>
    <t>ОБЩЕСТВО С ОГРАНИЧЕННОЙ ОТВЕТСТВЕННОСТЬЮ "ГРАНД-СГ"</t>
  </si>
  <si>
    <t>9310001160</t>
  </si>
  <si>
    <t>1229300132445</t>
  </si>
  <si>
    <t>287501, ДОНЕЦКАЯ НАРОДНАЯ РЕСПУБЛИКА, МАРИУПОЛЬ, Г. МАРИУПОЛЬ, Г. МАРИУПОЛЬ, ПР-КТ ЛЕНИНА, Д. 62</t>
  </si>
  <si>
    <t>ООО "ДЖЕТТА-СВ"</t>
  </si>
  <si>
    <t>ОБЩЕСТВО С ОГРАНИЧЕННОЙ ОТВЕТСТВЕННОСТЬЮ "ДЖЕТТА-СВ"</t>
  </si>
  <si>
    <t>9310001177</t>
  </si>
  <si>
    <t>1229300132412</t>
  </si>
  <si>
    <t>ООО "ИНТЕК"</t>
  </si>
  <si>
    <t>ОБЩЕСТВО С ОГРАНИЧЕННОЙ ОТВЕТСТВЕННОСТЬЮ "ИНТЕК"</t>
  </si>
  <si>
    <t>9310005380</t>
  </si>
  <si>
    <t>1229300141828</t>
  </si>
  <si>
    <t>ООО "ИЦ "СТРОЙЭКСПЕРТ-ЮГ"</t>
  </si>
  <si>
    <t>ОБЩЕСТВО С ОГРАНИЧЕННОЙ ОТВЕТСТВЕННОСТЬЮ "ИЦ "СТРОЙЭКСПЕРТ-ЮГ"</t>
  </si>
  <si>
    <t>9310002082</t>
  </si>
  <si>
    <t>1229300134909</t>
  </si>
  <si>
    <t>287549, ДОНЕЦКАЯ НАРОДНАЯ РЕСПУБЛИКА, МАРИУПОЛЬ, Г. МАРИУПОЛЬ, Г. МАРИУПОЛЬ, УЛ. ШЕВЧЕНКО, Д. 37, ОФИС 2</t>
  </si>
  <si>
    <t>ООО "МИГМЕГАСТРОЙ"</t>
  </si>
  <si>
    <t>ОБЩЕСТВО С ОГРАНИЧЕННОЙ ОТВЕТСТВЕННОСТЬЮ "МИГМЕГАСТРОЙ"</t>
  </si>
  <si>
    <t>9310001410</t>
  </si>
  <si>
    <t>1229300132863</t>
  </si>
  <si>
    <t>287549, ДОНЕЦКАЯ НАРОДНАЯ РЕСПУБЛИКА, МАРИУПОЛЬ, Г. МАРИУПОЛЬ, Г. МАРИУПОЛЬ, ПР-КТ СТРОИТЕЛЕЙ, Д. 132, ОФИС 6</t>
  </si>
  <si>
    <t>ООО "РИОН"</t>
  </si>
  <si>
    <t>ОБЩЕСТВО С ОГРАНИЧЕННОЙ ОТВЕТСТВЕННОСТЬЮ "РИОН"</t>
  </si>
  <si>
    <t>9310005580</t>
  </si>
  <si>
    <t>1229300142136</t>
  </si>
  <si>
    <t>287524, ДОНЕЦКАЯ НАРОДНАЯ РЕСПУБЛИКА, МАРИУПОЛЬ, Г. МАРИУПОЛЬ, Г. МАРИУПОЛЬ, ПР-КТ МЕТАЛЛУРГОВ, Д. 160</t>
  </si>
  <si>
    <t>ООО ФИРМА "АЗОВОЙЛ"</t>
  </si>
  <si>
    <t>ОБЩЕСТВО С ОГРАНИЧЕННОЙ ОТВЕТСТВЕННОСТЬЮ ФИРМА "АЗОВОЙЛ"</t>
  </si>
  <si>
    <t>9310004450</t>
  </si>
  <si>
    <t>1229300139980</t>
  </si>
  <si>
    <t>287510, ДОНЕЦКАЯ НАРОДНАЯ РЕСПУБЛИКА, МАРИУПОЛЬ, Г. МАРИУПОЛЬ, Г. МАРИУПОЛЬ, УЛ. КРАСНОФЛОТСКАЯ, Д. 196</t>
  </si>
  <si>
    <t>ООО ФИРМА "ГЕРМЕС"</t>
  </si>
  <si>
    <t>ОБЩЕСТВО С ОГРАНИЧЕННОЙ ОТВЕТСТВЕННОСТЬЮ ФИРМА "ГЕРМЕС"</t>
  </si>
  <si>
    <t>9310003495</t>
  </si>
  <si>
    <t>1229300138320</t>
  </si>
  <si>
    <t>287549, ДОНЕЦКАЯ НАРОДНАЯ РЕСПУБЛИКА, МАРИУПОЛЬ, Г. МАРИУПОЛЬ, Г. МАРИУПОЛЬ, УЛ. АРТЁМА, Д. 44, КВ. 7</t>
  </si>
  <si>
    <t>ООО ФИРМА "ПАРАДИЗ"</t>
  </si>
  <si>
    <t>ОБЩЕСТВО С ОГРАНИЧЕННОЙ ОТВЕТСТВЕННОСТЬЮ ФИРМА "ПАРАДИЗ"</t>
  </si>
  <si>
    <t>9310001628</t>
  </si>
  <si>
    <t>1229300133457</t>
  </si>
  <si>
    <t>287510, ДОНЕЦКАЯ НАРОДНАЯ РЕСПУБЛИКА, МАРИУПОЛЬ, Г. МАРИУПОЛЬ, Г. МАРИУПОЛЬ, ПР-КТ СТРОИТЕЛЕЙ, Д. 39</t>
  </si>
  <si>
    <t>ТСН "АВТОЛЮБИТЕЛЬ-24"</t>
  </si>
  <si>
    <t>ТОВАРИЩЕСТВО СОБСТВЕННИКОВ НЕДВИЖИМОСТИ "АВТОЛЮБИТЕЛЬ-24"</t>
  </si>
  <si>
    <t>9310001699</t>
  </si>
  <si>
    <t>1229300133853</t>
  </si>
  <si>
    <t>ДОНЕЦКАЯ НАРОДНАЯ РЕСПУБЛИКА, МАРИУПОЛЬ, Г. МАРИУПОЛЬ, Г. МАРИУПОЛЬ, УЛ. ГРАНИТНАЯ, Д. 127</t>
  </si>
  <si>
    <t>ПК "АМЛ-17"</t>
  </si>
  <si>
    <t>ПОТРЕБИТЕЛЬСКИЙ КООПЕРАТИВ "АВТОЛЮБИТЕЛЬ-17"</t>
  </si>
  <si>
    <t>9310005319</t>
  </si>
  <si>
    <t>1229300141840</t>
  </si>
  <si>
    <t>287524, ДОНЕЦКАЯ НАРОДНАЯ РЕСПУБЛИКА, МАРИУПОЛЬ, Г. МАРИУПОЛЬ, Г. МАРИУПОЛЬ, УЛ. ЗАОЗЁРНАЯ, Д. 86</t>
  </si>
  <si>
    <t>ПО "ОБЩЕСТВО ЦВЕТОВОДОВ-ЛЮБИТЕЛЕЙ "ФИАЛКА"</t>
  </si>
  <si>
    <t>ПОТРЕБИТЕЛЬСКИЙ КООПЕРАТИВ "ОБЩЕСТВО ЦВЕТОВОДОВ-ЛЮБИТЕЛЕЙ "ФИАЛКА"</t>
  </si>
  <si>
    <t>9310000871</t>
  </si>
  <si>
    <t>1229300132247</t>
  </si>
  <si>
    <t>287552, ДОНЕЦКАЯ НАРОДНАЯ РЕСПУБЛИКА, МАРИУПОЛЬ, Г. МАРИУПОЛЬ, Г. МАРИУПОЛЬ, ПЕР. КЛАРЫ ЦЕТКИН, Д. 17</t>
  </si>
  <si>
    <t>ПК "ТОРГОВЫЕ РЯДЫ"ПРИВОЗ"</t>
  </si>
  <si>
    <t>ПОТРЕБИТЕЛЬСКИЙ КООПЕРАТИВ "ТОРГОВЫЕ РЯДЫ"ПРИВОЗ"</t>
  </si>
  <si>
    <t>9310003657</t>
  </si>
  <si>
    <t>1229300138715</t>
  </si>
  <si>
    <t>287541, ДОНЕЦКАЯ НАРОДНАЯ РЕСПУБЛИКА, МАРИУПОЛЬ, Г. МАРИУПОЛЬ, Г. МАРИУПОЛЬ, ПР-КТ ТУЛЬСКИЙ, Д. 76</t>
  </si>
  <si>
    <t>ООО "ДЕМЕТРА-АГРО"</t>
  </si>
  <si>
    <t>ОБЩЕСТВО С ОГРАНИЧЕННОЙ ОТВЕТСТВЕННОСТЬЮ "ДЕМЕТРА-АГРО"</t>
  </si>
  <si>
    <t>9310006129</t>
  </si>
  <si>
    <t>1229300175125</t>
  </si>
  <si>
    <t>287642, ДОНЕЦКАЯ НАРОДНАЯ РЕСПУБЛИКА, МАРИУПОЛЬ, Г. МАРИУПОЛЬ, Г. МАРИУПОЛЬ, УЛ. МОЛОДЁЖНАЯ, Д. 1</t>
  </si>
  <si>
    <t>СНТ "АВТОМОБИЛИСТ"</t>
  </si>
  <si>
    <t>САДОВОДЧЕСКОЕ НЕКОММЕРЧЕСКОЕ ТОВАРИЩЕСТВО "АВТОМОБИЛИСТ"</t>
  </si>
  <si>
    <t>9310001681</t>
  </si>
  <si>
    <t>1229300133886</t>
  </si>
  <si>
    <t>287512, ДОНЕЦКАЯ НАРОДНАЯ РЕСПУБЛИКА, МАРИУПОЛЬ, Г. МАРИУПОЛЬ, Г. МАРИУПОЛЬ, УЛ. 60 ЛЕТ СССР, Д. 6, КВ. 21</t>
  </si>
  <si>
    <t>СНТ "ДЕЛЬФИН"</t>
  </si>
  <si>
    <t>САДОВОДЧЕСКОЕ НЕКОММЕРЧЕСКОЕ ТОВАРИЩЕСТВО "ДЕЛЬФИН"</t>
  </si>
  <si>
    <t>9310004192</t>
  </si>
  <si>
    <t>1229300139640</t>
  </si>
  <si>
    <t>287557, ДОНЕЦКАЯ НАРОДНАЯ РЕСПУБЛИКА, МАРИУПОЛЬ, Г. МАРИУПОЛЬ, Г. МАРИУПОЛЬ, УЛ. ОЛИМПИЙСКАЯ, Д. 193, КВ. 17</t>
  </si>
  <si>
    <t>СНТ "СТРОИТЕЛЬ"</t>
  </si>
  <si>
    <t>САДОВОДЧЕСКОЕ НЕКОММЕРЧЕСКОЕ ТОВАРИЩЕСТВО "СТРОИТЕЛЬ"</t>
  </si>
  <si>
    <t>9310002283</t>
  </si>
  <si>
    <t>1229300135460</t>
  </si>
  <si>
    <t>ДОНЕЦКАЯ НАРОДНАЯ РЕСПУБЛИКА, МАРИУПОЛЬ, Г. МАРИУПОЛЬ, Г. МАРИУПОЛЬ, Ш. СТАРОКРЫМСКОЕ, Д. 63</t>
  </si>
  <si>
    <t>СНТ "ТЮЛЬПАН"</t>
  </si>
  <si>
    <t>САДОВОДЧЕСКОЕ НЕКОММЕРЧЕСКОЕ ТОВАРИЩЕСТВО "ТЮЛЬПАН"</t>
  </si>
  <si>
    <t>9310001730</t>
  </si>
  <si>
    <t>1229300133545</t>
  </si>
  <si>
    <t>287557, ДОНЕЦКАЯ НАРОДНАЯ РЕСПУБЛИКА, МАРИУПОЛЬ, Г. МАРИУПОЛЬ, Г. МАРИУПОЛЬ, УЛ. ПРИДОРОЖНАЯ, Д. 1А</t>
  </si>
  <si>
    <t>СНТ "МЕТЕОР"</t>
  </si>
  <si>
    <t>САДОВОДЧЕСКОЕ НЕКОММЕРЧЕСКОЕ ТОВАРИЩЕСТВО "МЕТЕОР"</t>
  </si>
  <si>
    <t>9310005608</t>
  </si>
  <si>
    <t>1229300142125</t>
  </si>
  <si>
    <t>287524, ДОНЕЦКАЯ НАРОДНАЯ РЕСПУБЛИКА, МАРИУПОЛЬ, Г. МАРИУПОЛЬ, Г. МАРИУПОЛЬ, ПР-КТ МЕТАЛЛУРГОВ, Д. 197, КВ. 24</t>
  </si>
  <si>
    <t>СТ "СОЮЗ"</t>
  </si>
  <si>
    <t>САДОВОЕ ТОВАРИЩЕСТВО "СОЮЗ"</t>
  </si>
  <si>
    <t>9310001770</t>
  </si>
  <si>
    <t>1229300134150</t>
  </si>
  <si>
    <t>287501, ДОНЕЦКАЯ НАРОДНАЯ РЕСПУБЛИКА, МАРИУПОЛЬ, Г. МАРИУПОЛЬ, Г. МАРИУПОЛЬ, ПЕР. ТОРГОВЫЙ, Д. 15</t>
  </si>
  <si>
    <t>ЦДЮТ</t>
  </si>
  <si>
    <t>МУНИЦИПАЛЬНОЕ БЮДЖЕТНОЕ УЧРЕЖДЕНИЕ ДОПОЛНИТЕЛЬНОГО ОБРАЗОВАНИЯ "ЦЕНТР ДЕТСКОГО И ЮНОШЕСКОГО ТВОРЧЕСТВА ГОРОДА МАРИУПОЛЯ"</t>
  </si>
  <si>
    <t>9310006087</t>
  </si>
  <si>
    <t>1229300172452</t>
  </si>
  <si>
    <t>ООО "СУ № 112 "СТАЛЬКОНСТРУКЦИЯ"</t>
  </si>
  <si>
    <t>ОБЩЕСТВО С ОГРАНИЧЕННОЙ ОТВЕТСТВЕННОСТЬЮ "СПЕЦИАЛИЗИРОВАННОЕ УПРАВЛЕНИЕ № 112 "СТАЛЬКОНСТРУКЦИЯ"</t>
  </si>
  <si>
    <t>9310004636</t>
  </si>
  <si>
    <t>1229300140343</t>
  </si>
  <si>
    <t>287501, ДОНЕЦКАЯ НАРОДНАЯ РЕСПУБЛИКА, МАРИУПОЛЬ, Г. МАРИУПОЛЬ, Г. МАРИУПОЛЬ, УЛ. ЕВПАТОРИЙСКАЯ, Д. 49</t>
  </si>
  <si>
    <t>ООО "СФЕРА"</t>
  </si>
  <si>
    <t>ОБЩЕСТВО С ОГРАНИЧЕННОЙ ОТВЕТСТВЕННОСТЬЮ "СФЕРА"</t>
  </si>
  <si>
    <t>9310004675</t>
  </si>
  <si>
    <t>1229300140365</t>
  </si>
  <si>
    <t>287554, ДОНЕЦКАЯ НАРОДНАЯ РЕСПУБЛИКА, МАРИУПОЛЬ, Г. МАРИУПОЛЬ, Г. МАРИУПОЛЬ, УЛ. ГРАНИТНАЯ, Д. 100/174</t>
  </si>
  <si>
    <t>ООО "АГРОТЕХНИК"</t>
  </si>
  <si>
    <t>ОБЩЕСТВО С ОГРАНИЧЕННОЙ ОТВЕТСТВЕННОСТЬЮ "АГРОТЕХНИК"</t>
  </si>
  <si>
    <t>9310003946</t>
  </si>
  <si>
    <t>1229300139089</t>
  </si>
  <si>
    <t>287554, ДОНЕЦКАЯ НАРОДНАЯ РЕСПУБЛИКА, МАРИУПОЛЬ, Г. МАРИУПОЛЬ, Г. МАРИУПОЛЬ, ПР-КТ СТРОИТЕЛЕЙ, Д. 166</t>
  </si>
  <si>
    <t>ООО "ДАР"</t>
  </si>
  <si>
    <t>ОБЩЕСТВО С ОГРАНИЧЕННОЙ ОТВЕТСТВЕННОСТЬЮ "ДАР"</t>
  </si>
  <si>
    <t>9310005647</t>
  </si>
  <si>
    <t>1229300142378</t>
  </si>
  <si>
    <t>287557, ДОНЕЦКАЯ НАРОДНАЯ РЕСПУБЛИКА, МАРИУПОЛЬ, Г. МАРИУПОЛЬ, Г. МАРИУПОЛЬ, УЛ. ОЛИМПИЙСКАЯ, Д. 167, КВ. 93</t>
  </si>
  <si>
    <t>ООО "ЮКА"</t>
  </si>
  <si>
    <t>ОБЩЕСТВО С ОГРАНИЧЕННОЙ ОТВЕТСТВЕННОСТЬЮ "ЮКА"</t>
  </si>
  <si>
    <t>9310005037</t>
  </si>
  <si>
    <t>1229300141201</t>
  </si>
  <si>
    <t>287504, ДОНЕЦКАЯ НАРОДНАЯ РЕСПУБЛИКА, МАРИУПОЛЬ, Г. МАРИУПОЛЬ, Г. МАРИУПОЛЬ, ПР-КТ ИЛЬИЧА, Д. 31А</t>
  </si>
  <si>
    <t>ООО"АНФИЛАДА"</t>
  </si>
  <si>
    <t>ОБЩЕСТВО С ОГРАНИЧЕННОЙ ОТВЕТСТВЕННОСТЬЮ "АНФИЛАДА"</t>
  </si>
  <si>
    <t>9310003150</t>
  </si>
  <si>
    <t>1229300137615</t>
  </si>
  <si>
    <t>ДОНЕЦКАЯ НАРОДНАЯ РЕСПУБЛИКА, МАРИУПОЛЬ, Г. МАРИУПОЛЬ, Г. МАРИУПОЛЬ, ПР-КТ ТУЛЬСКИЙ, Д. 27</t>
  </si>
  <si>
    <t>ООО "А.Р.К. ТРАНССЕРВИС"</t>
  </si>
  <si>
    <t>ОБЩЕСТВО С ОГРАНИЧЕННОЙ ОТВЕТСТВЕННОСТЬЮ "А.Р.К. ТРАНССЕРВИС"</t>
  </si>
  <si>
    <t>9310004964</t>
  </si>
  <si>
    <t>1229300141168</t>
  </si>
  <si>
    <t>ЧП "БОАРД"</t>
  </si>
  <si>
    <t>ЧАСТНОЕ ПРЕДПРИЯТИЕ "БОАРД"</t>
  </si>
  <si>
    <t>9310000695</t>
  </si>
  <si>
    <t>1229300131939</t>
  </si>
  <si>
    <t>287541, ДОНЕЦКАЯ НАРОДНАЯ РЕСПУБЛИКА, МАРИУПОЛЬ, Г. МАРИУПОЛЬ, Г. МАРИУПОЛЬ, УЛ. ЛОЗОВАЯ, Д. 20</t>
  </si>
  <si>
    <t>ООО "ВЕРСИЯ"</t>
  </si>
  <si>
    <t>ОБЩЕСТВО С ОГРАНИЧЕННОЙ ОТВЕТСТВЕННОСТЬЮ "ВЕРСИЯ"</t>
  </si>
  <si>
    <t>9310000800</t>
  </si>
  <si>
    <t>1229300132291</t>
  </si>
  <si>
    <t>287512, ДОНЕЦКАЯ НАРОДНАЯ РЕСПУБЛИКА, МАРИУПОЛЬ, Г. МАРИУПОЛЬ, Г. МАРИУПОЛЬ, Ш. ВОЛОДАРСКОЕ, Д. 6</t>
  </si>
  <si>
    <t>ООО "ВЕСНА"</t>
  </si>
  <si>
    <t>ОБЩЕСТВО С ОГРАНИЧЕННОЙ ОТВЕТСТВЕННОСТЬЮ "ВЕСНА"</t>
  </si>
  <si>
    <t>9310006030</t>
  </si>
  <si>
    <t>1229300168272</t>
  </si>
  <si>
    <t>287512, ДОНЕЦКАЯ НАРОДНАЯ РЕСПУБЛИКА, МАРИУПОЛЬ, Г. МАРИУПОЛЬ, Г. МАРИУПОЛЬ, Ш. ВОЛОДАРСКОЕ, Д. 8</t>
  </si>
  <si>
    <t>ЧП "ЕВРОСТАНДАРТ"</t>
  </si>
  <si>
    <t>ЧАСТНОЕ ПРЕДПРИЯТИЕ "ЕВРОСТАНДАРТ"</t>
  </si>
  <si>
    <t>9310005742</t>
  </si>
  <si>
    <t>1229300142444</t>
  </si>
  <si>
    <t>287537, ДОНЕЦКАЯ НАРОДНАЯ РЕСПУБЛИКА, МАРИУПОЛЬ, Г. МАРИУПОЛЬ, Г. МАРИУПОЛЬ, УЛ. КАРЛА ЛИБКНЕХТА, Д. 103</t>
  </si>
  <si>
    <t>ООО "ЛОГОС-ТРЕЙД"</t>
  </si>
  <si>
    <t>ОБЩЕСТВО С ОГРАНИЧЕННОЙ ОТВЕТСТВЕННОСТЬЮ "ЛОГОС-ТРЕЙД"</t>
  </si>
  <si>
    <t>9310004308</t>
  </si>
  <si>
    <t>1229300139804</t>
  </si>
  <si>
    <t>287537, ДОНЕЦКАЯ НАРОДНАЯ РЕСПУБЛИКА, МАРИУПОЛЬ, Г. МАРИУПОЛЬ, Г. МАРИУПОЛЬ, ПР-КТ ЛЕНИНА, Д. 104, КВ. 76</t>
  </si>
  <si>
    <t>ООО "МАР-АВЕРС"</t>
  </si>
  <si>
    <t>ОБЩЕСТВО С ОГРАНИЧЕННОЙ ОТВЕТСТВЕННОСТЬЮ "МАР-АВЕРС"</t>
  </si>
  <si>
    <t>9310003255</t>
  </si>
  <si>
    <t>1229300138143</t>
  </si>
  <si>
    <t>ДОНЕЦКАЯ НАРОДНАЯ РЕСПУБЛИКА, МАРИУПОЛЬ, Г. МАРИУПОЛЬ, Г. МАРИУПОЛЬ, УЛ. ЭНГЕЛЬСА, Д. 26/2</t>
  </si>
  <si>
    <t>ЧП "МАРКИССА"</t>
  </si>
  <si>
    <t>ЧАСТНОЕ ПРЕДПРИЯТИЕ "МАРКИССА"</t>
  </si>
  <si>
    <t>9310003953</t>
  </si>
  <si>
    <t>1229300139177</t>
  </si>
  <si>
    <t>287557, ДОНЕЦКАЯ НАРОДНАЯ РЕСПУБЛИКА, МАРИУПОЛЬ, Г. МАРИУПОЛЬ, Г. МАРИУПОЛЬ, ПР-КТ МАРШАЛА ЖУКОВА, Д. 52, КВ. 86</t>
  </si>
  <si>
    <t>ООО "МАРФИШ-ПЛЮС"</t>
  </si>
  <si>
    <t>ОБЩЕСТВО С ОГРАНИЧЕННОЙ ОТВЕТСТВЕННОСТЬЮ "МАРФИШ-ПЛЮС"</t>
  </si>
  <si>
    <t>9310003784</t>
  </si>
  <si>
    <t>1229300138891</t>
  </si>
  <si>
    <t>287557, ДОНЕЦКАЯ НАРОДНАЯ РЕСПУБЛИКА, МАРИУПОЛЬ, Г. МАРИУПОЛЬ, Г. МАРИУПОЛЬ, УЛ. КИЕВСКАЯ, Д. 68, КВ. 73</t>
  </si>
  <si>
    <t>ООО "МАРФИШ"</t>
  </si>
  <si>
    <t>ОБЩЕСТВО С ОГРАНИЧЕННОЙ ОТВЕТСТВЕННОСТЬЮ "МАРФИШ"</t>
  </si>
  <si>
    <t>9310003819</t>
  </si>
  <si>
    <t>1229300138869</t>
  </si>
  <si>
    <t>287549, ДОНЕЦКАЯ НАРОДНАЯ РЕСПУБЛИКА, МАРИУПОЛЬ, Г. МАРИУПОЛЬ, Г. МАРИУПОЛЬ, УЛ. КОТЛЯРЕВСКОГО, Д. 4, КВ. 190</t>
  </si>
  <si>
    <t>ООО "СК "РУБИН"</t>
  </si>
  <si>
    <t>ОБЩЕСТВО С ОГРАНИЧЕННОЙ ОТВЕТСТВЕННОСТЬЮ "СТРОИТЕЛЬНАЯ КОМПАНИЯ "РУБИН"</t>
  </si>
  <si>
    <t>9310005630</t>
  </si>
  <si>
    <t>1229300142345</t>
  </si>
  <si>
    <t>287524, ДОНЕЦКАЯ НАРОДНАЯ РЕСПУБЛИКА, МАРИУПОЛЬ, Г. МАРИУПОЛЬ, Г. МАРИУПОЛЬ, УЛ. СЕЧЕНОВА, Д. 63А</t>
  </si>
  <si>
    <t>ЧП "СТРОЙТЕХНО"</t>
  </si>
  <si>
    <t>ЧАСТНОЕ ПРЕДПРИЯТИЕ "СТРОЙТЕХНО"</t>
  </si>
  <si>
    <t>9310004594</t>
  </si>
  <si>
    <t>1229300140112</t>
  </si>
  <si>
    <t>287524, ДОНЕЦКАЯ НАРОДНАЯ РЕСПУБЛИКА, МАРИУПОЛЬ, Г. МАРИУПОЛЬ, Г. МАРИУПОЛЬ, УЛ. СОРМОВСКАЯ, Д. 8</t>
  </si>
  <si>
    <t>ООО "ДИЛИНГ"</t>
  </si>
  <si>
    <t>ОБЩЕСТВО С ОГРАНИЧЕННОЙ ОТВЕТСТВЕННОСТЬЮ "ДИЛИНГ"</t>
  </si>
  <si>
    <t>9310004523</t>
  </si>
  <si>
    <t>1229300140189</t>
  </si>
  <si>
    <t>ДОНЕЦКАЯ НАРОДНАЯ РЕСПУБЛИКА, МАРИУПОЛЬ, Г. МАРИУПОЛЬ, Г. МАРИУПОЛЬ, УЛ. МЕНДЕЛЕЕВА, Д. 13/5, КВ. 4</t>
  </si>
  <si>
    <t>ООО "ПРИАЗОВСЕРВИС"</t>
  </si>
  <si>
    <t>ОБЩЕСТВО С ОГРАНИЧЕННОЙ ОТВЕТСТВЕННОСТЬЮ "ПРИАЗОВСЕРВИС"</t>
  </si>
  <si>
    <t>9310002004</t>
  </si>
  <si>
    <t>1229300135107</t>
  </si>
  <si>
    <t>287501, ДОНЕЦКАЯ НАРОДНАЯ РЕСПУБЛИКА, МАРИУПОЛЬ, Г. МАРИУПОЛЬ, Г. МАРИУПОЛЬ, УЛ. ЛАВИЦКОГО, Д. 23, КОМ. 17</t>
  </si>
  <si>
    <t>ООО "ФИРМА "КАРАТ"</t>
  </si>
  <si>
    <t>ОБЩЕСТВО С ОГРАНИЧЕННОЙ ОТВЕТСТВЕННОСТЬЮ "ФИРМА "КАРАТ"</t>
  </si>
  <si>
    <t>9310003583</t>
  </si>
  <si>
    <t>1229300138517</t>
  </si>
  <si>
    <t>287555, ДОНЕЦКАЯ НАРОДНАЯ РЕСПУБЛИКА, МАРИУПОЛЬ, Г. МАРИУПОЛЬ, Г. МАРИУПОЛЬ, УЛ. УРИЦКОГО, Д. 85/18</t>
  </si>
  <si>
    <t>ООО "ФИРМА АУРУМ"</t>
  </si>
  <si>
    <t>ОБЩЕСТВО С ОГРАНИЧЕННОЙ ОТВЕТСТВЕННОСТЬЮ "ФИРМА АУРУМ"</t>
  </si>
  <si>
    <t>9310006094</t>
  </si>
  <si>
    <t>1229300172628</t>
  </si>
  <si>
    <t>287526, ДОНЕЦКАЯ НАРОДНАЯ РЕСПУБЛИКА, МАРИУПОЛЬ, Г. МАРИУПОЛЬ, Г. МАРИУПОЛЬ, УЛ. БРЯНСКАЯ, Д. 45</t>
  </si>
  <si>
    <t>ООО "ФИРМА ГАЛ"</t>
  </si>
  <si>
    <t>ОБЩЕСТВО С ОГРАНИЧЕННОЙ ОТВЕТСТВЕННОСТЬЮ "ФИРМА ГАЛ"</t>
  </si>
  <si>
    <t>9310002967</t>
  </si>
  <si>
    <t>1229300137329</t>
  </si>
  <si>
    <t>287557, ДОНЕЦКАЯ НАРОДНАЯ РЕСПУБЛИКА, МАРИУПОЛЬ, Г. МАРИУПОЛЬ, Г. МАРИУПОЛЬ, УЛ. ТИТОВА, Д. 42</t>
  </si>
  <si>
    <t>ООО "ФИРМА СУЛИКО"</t>
  </si>
  <si>
    <t>ОБЩЕСТВО С ОГРАНИЧЕННОЙ ОТВЕТСТВЕННОСТЬЮ "ФИРМА СУЛИКО"</t>
  </si>
  <si>
    <t>9310002364</t>
  </si>
  <si>
    <t>1229300135789</t>
  </si>
  <si>
    <t>287537, ДОНЕЦКАЯ НАРОДНАЯ РЕСПУБЛИКА, МАРИУПОЛЬ, Г. МАРИУПОЛЬ, Г. МАРИУПОЛЬ, ПР-КТ ЛЕНИНА, Д. 107, КВ. 93</t>
  </si>
  <si>
    <t>ООО "ФИШ ТРЕЙД"</t>
  </si>
  <si>
    <t>ОБЩЕСТВО С ОГРАНИЧЕННОЙ ОТВЕТСТВЕННОСТЬЮ "ФИШ ТРЕЙД"</t>
  </si>
  <si>
    <t>9310000230</t>
  </si>
  <si>
    <t>1229300128606</t>
  </si>
  <si>
    <t>287549, ДОНЕЦКАЯ НАРОДНАЯ РЕСПУБЛИКА, МАРИУПОЛЬ, Г. МАРИУПОЛЬ, Г. МАРИУПОЛЬ, Б-Р ШЕВЧЕНКО, Д. 343, КВ. 54</t>
  </si>
  <si>
    <t>ООО "ФОТИНА"</t>
  </si>
  <si>
    <t>ОБЩЕСТВО С ОГРАНИЧЕННОЙ ОТВЕТСТВЕННОСТЬЮ "ФОТИНА"</t>
  </si>
  <si>
    <t>9310001392</t>
  </si>
  <si>
    <t>1229300132841</t>
  </si>
  <si>
    <t>287513, ДОНЕЦКАЯ НАРОДНАЯ РЕСПУБЛИКА, МАРИУПОЛЬ, Г. МАРИУПОЛЬ, Г. МАРИУПОЛЬ, КВ-Л 26, Д. 3</t>
  </si>
  <si>
    <t>ООО ПКФ "ДАНА"</t>
  </si>
  <si>
    <t>ОБЩЕСТВО С ОГРАНИЧЕННОЙ ОТВЕТСТВЕННОСТЬЮ "ПРОИЗВОДСТВЕННО-КОММЕРЧЕСКАЯ ФИРМА "ДАНА"</t>
  </si>
  <si>
    <t>9310002491</t>
  </si>
  <si>
    <t>1229300136075</t>
  </si>
  <si>
    <t>287524, ДОНЕЦКАЯ НАРОДНАЯ РЕСПУБЛИКА, МАРИУПОЛЬ, Г. МАРИУПОЛЬ, Г. МАРИУПОЛЬ, ПР-КТ КАРПОВА, Д. 15</t>
  </si>
  <si>
    <t>ООО "КОНКРИТ-ТРАНС"</t>
  </si>
  <si>
    <t>ОБЩЕСТВО С ОГРАНИЧЕННОЙ ОТВЕТСТВЕННОСТЬЮ "КОНКРИТ-ТРАНС"</t>
  </si>
  <si>
    <t>9310004393</t>
  </si>
  <si>
    <t>1229300140002</t>
  </si>
  <si>
    <t>ДОНЕЦКАЯ НАРОДНАЯ РЕСПУБЛИКА, МАРИУПОЛЬ, Г. МАРИУПОЛЬ, Г. МАРИУПОЛЬ, УЛ. МИНИНА, Д. 7</t>
  </si>
  <si>
    <t>ООО "МПК МЯСНАЯ ФЕРМА"</t>
  </si>
  <si>
    <t>ОБЩЕСТВО С ОГРАНИЧЕННОЙ ОТВЕТСТВЕННОСТЬЮ "МПК МЯСНАЯ ФЕРМА"</t>
  </si>
  <si>
    <t>9308018889</t>
  </si>
  <si>
    <t>1229300138649</t>
  </si>
  <si>
    <t>287557, ДОНЕЦКАЯ НАРОДНАЯ РЕСПУБЛИКА, МАРИУПОЛЬ, Г. МАРИУПОЛЬ, Г. МАРИУПОЛЬ, УЛ. ОЛИМПИЙСКАЯ, Д. 175, ПОМЕЩ. 72</t>
  </si>
  <si>
    <t>ООО "ПИРАМИДА"</t>
  </si>
  <si>
    <t>ОБЩЕСТВО С ОГРАНИЧЕННОЙ ОТВЕТСТВЕННОСТЬЮ "ПИРАМИДА"</t>
  </si>
  <si>
    <t>9310003738</t>
  </si>
  <si>
    <t>1229300138781</t>
  </si>
  <si>
    <t>287526, ДОНЕЦКАЯ НАРОДНАЯ РЕСПУБЛИКА, МАРИУПОЛЬ, Г. МАРИУПОЛЬ, Г. МАРИУПОЛЬ, ПР-КТ ПОБЕДЫ, Д. 117</t>
  </si>
  <si>
    <t>ООО "УК ВЕКТОР"</t>
  </si>
  <si>
    <t>ОБЩЕСТВО С ОГРАНИЧЕННОЙ ОТВЕТСТВЕННОСТЬЮ "УПРАВЛЯЮЩАЯ КОМПАНИЯ ВЕКТОР"</t>
  </si>
  <si>
    <t>9310002519</t>
  </si>
  <si>
    <t>1229300136064</t>
  </si>
  <si>
    <t>287512, ДОНЕЦКАЯ НАРОДНАЯ РЕСПУБЛИКА, МАРИУПОЛЬ, Г. МАРИУПОЛЬ, Г. МАРИУПОЛЬ, УЛ. УРИЦКОГО, Д. 109, ПОМЕЩ. 73</t>
  </si>
  <si>
    <t>ООО "ТОРГОВАЯ ФИРМА "ВИЗИТ"</t>
  </si>
  <si>
    <t>ОБЩЕСТВО С ОГРАНИЧЕННОЙ ОТВЕТСТВЕННОСТЬЮ "ТОРГОВАЯ ФИРМА "ВИЗИТ"</t>
  </si>
  <si>
    <t>9310004562</t>
  </si>
  <si>
    <t>1229300140222</t>
  </si>
  <si>
    <t>ООО "ЭДЕМ"</t>
  </si>
  <si>
    <t>ОБЩЕСТВО С ОГРАНИЧЕННОЙ ОТВЕТСТВЕННОСТЬЮ "ЭДЕМ'</t>
  </si>
  <si>
    <t>9310005728</t>
  </si>
  <si>
    <t>1229300142455</t>
  </si>
  <si>
    <t>287501, ДОНЕЦКАЯ НАРОДНАЯ РЕСПУБЛИКА, МАРИУПОЛЬ, Г. МАРИУПОЛЬ, Г. МАРИУПОЛЬ, УЛ. НИКОЛАЕВСКАЯ, Д. 117</t>
  </si>
  <si>
    <t>ООО "ТД "ГРАЦИЯ"</t>
  </si>
  <si>
    <t>ОБЩЕСТВО С ОГРАНИЧЕННОЙ ОТВЕТСТВЕННОСТЬЮ "ТОРГОВЫЙ ДОМ "ГРАЦИЯ"</t>
  </si>
  <si>
    <t>9310001931</t>
  </si>
  <si>
    <t>1229300134733</t>
  </si>
  <si>
    <t>287501, ДОНЕЦКАЯ НАРОДНАЯ РЕСПУБЛИКА, МАРИУПОЛЬ, Г. МАРИУПОЛЬ, Г. МАРИУПОЛЬ, ПР-КТ МЕТАЛЛУРГОВ, Д. 53</t>
  </si>
  <si>
    <t>ООО "ЕРМАК"</t>
  </si>
  <si>
    <t>ОБЩЕСТВО С ОГРАНИЧЕННОЙ ОТВЕТСТВЕННОСТЬЮ "ЕРМАК"</t>
  </si>
  <si>
    <t>9310000060</t>
  </si>
  <si>
    <t>1229300000621</t>
  </si>
  <si>
    <t>287524, ДОНЕЦКАЯ НАРОДНАЯ РЕСПУБЛИКА, МАРИУПОЛЬ, Г. МАРИУПОЛЬ, Г. МАРИУПОЛЬ, ПР-КТ МЕТАЛЛУРГОВ, Д. 145, КВ. 23</t>
  </si>
  <si>
    <t>ООО "МЕТПРОМСНАБ"</t>
  </si>
  <si>
    <t>ОБЩЕСТВО С ОГРАНИЧЕННОЙ ОТВЕТСТВЕННОСТЬЮ "МЕТПРОМСНАБ"</t>
  </si>
  <si>
    <t>9310000536</t>
  </si>
  <si>
    <t>1229300131390</t>
  </si>
  <si>
    <t>ООО "МЕТЭКСИМ"</t>
  </si>
  <si>
    <t>ОБЩЕСТВО С ОГРАНИЧЕННОЙ ОТВЕТСТВЕННОСТЬЮ "МЕТЭКСИМ"</t>
  </si>
  <si>
    <t>9310003544</t>
  </si>
  <si>
    <t>1229300138506</t>
  </si>
  <si>
    <t>287549, ДОНЕЦКАЯ НАРОДНАЯ РЕСПУБЛИКА, МАРИУПОЛЬ, Г. МАРИУПОЛЬ, Г. МАРИУПОЛЬ, Б-Р ШЕВЧЕНКО, Д. 291, КВ. 112</t>
  </si>
  <si>
    <t>ООО "МЕХАНОГРУП"</t>
  </si>
  <si>
    <t>ОБЩЕСТВО С ОГРАНИЧЕННОЙ ОТВЕТСТВЕННОСТЬЮ "МЕХАНОГРУП"</t>
  </si>
  <si>
    <t>9310002580</t>
  </si>
  <si>
    <t>1229300136383</t>
  </si>
  <si>
    <t>ООО "МЖКСТРОЙ"</t>
  </si>
  <si>
    <t>ОБЩЕСТВО С ОГРАНИЧЕННОЙ ОТВЕТСТВЕННОСТЬЮ "МЖКСТРОЙ"</t>
  </si>
  <si>
    <t>9310000776</t>
  </si>
  <si>
    <t>1229300131950</t>
  </si>
  <si>
    <t>287549, ДОНЕЦКАЯ НАРОДНАЯ РЕСПУБЛИКА, МАРИУПОЛЬ, Г. МАРИУПОЛЬ, Г. МАРИУПОЛЬ, ПР-КТ МЕТАЛЛУРГОВ, Д. 99</t>
  </si>
  <si>
    <t>ООО "АГРО-БИЗНЕС"</t>
  </si>
  <si>
    <t>ОБЩЕСТВО С ОГРАНИЧЕННОЙ ОТВЕТСТВЕННОСТЬЮ "АГРО-БИЗНЕС"</t>
  </si>
  <si>
    <t>9310004989</t>
  </si>
  <si>
    <t>1229300141070</t>
  </si>
  <si>
    <t>287501, ДОНЕЦКАЯ НАРОДНАЯ РЕСПУБЛИКА, МАРИУПОЛЬ, Г. МАРИУПОЛЬ, Г. МАРИУПОЛЬ, Б-Р ПРИМОРСКИЙ, Д. 29</t>
  </si>
  <si>
    <t>ООО "АПФ "НЕРИС"</t>
  </si>
  <si>
    <t>ОБЩЕСТВО С ОГРАНИЧЕННОЙ ОТВЕТСТВЕННОСТЬЮ "АГРОПРОМЫШЛЕННАЯ ФИРМА "НЕРИС"</t>
  </si>
  <si>
    <t>9310001804</t>
  </si>
  <si>
    <t>1229300134106</t>
  </si>
  <si>
    <t>287512, ДОНЕЦКАЯ НАРОДНАЯ РЕСПУБЛИКА, МАРИУПОЛЬ, Г. МАРИУПОЛЬ, Г. МАРИУПОЛЬ, УЛ. АПАТОВА, Д. 14</t>
  </si>
  <si>
    <t>ООО "АГРОТРЕЙД"</t>
  </si>
  <si>
    <t>ОБЩЕСТВО С ОГРАНИЧЕННОЙ ОТВЕТСТВЕННОСТЬЮ "АГРОТРЕЙД"</t>
  </si>
  <si>
    <t>9310003142</t>
  </si>
  <si>
    <t>1229300137923</t>
  </si>
  <si>
    <t>287524, ДОНЕЦКАЯ НАРОДНАЯ РЕСПУБЛИКА, МАРИУПОЛЬ, Г. МАРИУПОЛЬ, Г. МАРИУПОЛЬ, УЛ. ПОКРЫШКИНА, Д. 50</t>
  </si>
  <si>
    <t>ООО "АЛЬЯНС АВТО СТРОЙ"</t>
  </si>
  <si>
    <t>ОБЩЕСТВО С ОГРАНИЧЕННОЙ ОТВЕТСТВЕННОСТЬЮ "АЛЬЯНС АВТО СТРОЙ"</t>
  </si>
  <si>
    <t>9310005372</t>
  </si>
  <si>
    <t>1229300141740</t>
  </si>
  <si>
    <t>287510, ДОНЕЦКАЯ НАРОДНАЯ РЕСПУБЛИКА, МАРИУПОЛЬ, Г. МАРИУПОЛЬ, Г. МАРИУПОЛЬ, УЛ. СЕВЕРНАЯ, Д. 37, КВ. 4</t>
  </si>
  <si>
    <t>ООО "АНИЛИН-ТРАНС"</t>
  </si>
  <si>
    <t>ОБЩЕСТВО С ОГРАНИЧЕННОЙ ОТВЕТСТВЕННОСТЬЮ "АНИЛИН-ТРАНС"</t>
  </si>
  <si>
    <t>9310003375</t>
  </si>
  <si>
    <t>1229300138210</t>
  </si>
  <si>
    <t>287554, ДОНЕЦКАЯ НАРОДНАЯ РЕСПУБЛИКА, МАРИУПОЛЬ, Г. МАРИУПОЛЬ, Г. МАРИУПОЛЬ, УЛ. УРИЦКОГО, Д. 83/23, КВ. 49</t>
  </si>
  <si>
    <t>ООО "АНТОН"</t>
  </si>
  <si>
    <t>ОБЩЕСТВО С ОГРАНИЧЕННОЙ ОТВЕТСТВЕННОСТЬЮ "АНТОН"</t>
  </si>
  <si>
    <t>9310003590</t>
  </si>
  <si>
    <t>1229300138594</t>
  </si>
  <si>
    <t>287557, ДОНЕЦКАЯ НАРОДНАЯ РЕСПУБЛИКА, МАРИУПОЛЬ, Г. МАРИУПОЛЬ, Г. МАРИУПОЛЬ, УЛ. КИЕВСКАЯ, Д. 31</t>
  </si>
  <si>
    <t>ООО "АРИС"</t>
  </si>
  <si>
    <t>ОБЩЕСТВО С ОГРАНИЧЕННОЙ ОТВЕТСТВЕННОСТЬЮ "АРИС"</t>
  </si>
  <si>
    <t>9310004957</t>
  </si>
  <si>
    <t>1229300141102</t>
  </si>
  <si>
    <t>287501, ДОНЕЦКАЯ НАРОДНАЯ РЕСПУБЛИКА, МАРИУПОЛЬ, Г. МАРИУПОЛЬ, Г. МАРИУПОЛЬ, УЛ. БАХЧИВАНДЖИ, Д. 22</t>
  </si>
  <si>
    <t>ООО "СПЕЦСТРОЙСНАБРЕМОНТ"</t>
  </si>
  <si>
    <t>ОБЩЕСТВО С ОГРАНИЧЕННОЙ ОТВЕТСТВЕННОСТЬЮ "СПЕЦСТРОЙСНАБРЕМОНТ"</t>
  </si>
  <si>
    <t>9310004058</t>
  </si>
  <si>
    <t>1229300139221</t>
  </si>
  <si>
    <t>287501, ДОНЕЦКАЯ НАРОДНАЯ РЕСПУБЛИКА, МАРИУПОЛЬ, Г. МАРИУПОЛЬ, Г. МАРИУПОЛЬ, УЛ. КАЗАНЦЕВА, Д. 7Б</t>
  </si>
  <si>
    <t>ООО "ЛАКИ"</t>
  </si>
  <si>
    <t>ОБЩЕСТВО С ОГРАНИЧЕННОЙ ОТВЕТСТВЕННОСТЬЮ "ЛАКИ"</t>
  </si>
  <si>
    <t>9310004033</t>
  </si>
  <si>
    <t>1229300139265</t>
  </si>
  <si>
    <t>ООО "ФИАЛЛА"</t>
  </si>
  <si>
    <t>ОБЩЕСТВО С ОГРАНИЧЕННОЙ ОТВЕТСТВЕННОСТЬЮ "ФИАЛЛА"</t>
  </si>
  <si>
    <t>9310002477</t>
  </si>
  <si>
    <t>1229300136020</t>
  </si>
  <si>
    <t>ООО "ПУЛЬСАР"</t>
  </si>
  <si>
    <t>ОБЩЕСТВО С ОГРАНИЧЕННОЙ ОТВЕТСТВЕННОСТЬЮ "ПУЛЬСАР"</t>
  </si>
  <si>
    <t>9310002251</t>
  </si>
  <si>
    <t>1229300135404</t>
  </si>
  <si>
    <t>ООО "ПФК "АЗОВ-ВМ"</t>
  </si>
  <si>
    <t>ОБЩЕСТВО С ОГРАНИЧЕННОЙ ОТВЕТСТВЕННОСТЬЮ "ПРОМЫШЛЕННО-ФИНАНСОВАЯ КОМПАНИЯ "АЗОВ-ВМ"</t>
  </si>
  <si>
    <t>9310001610</t>
  </si>
  <si>
    <t>1229300133248</t>
  </si>
  <si>
    <t>287552, ДОНЕЦКАЯ НАРОДНАЯ РЕСПУБЛИКА, МАРИУПОЛЬ, Г. МАРИУПОЛЬ, Г. МАРИУПОЛЬ, УЛ. ПОГРАНИЧНАЯ, Д. 70</t>
  </si>
  <si>
    <t>ООО "БЕСТБЕТОН"</t>
  </si>
  <si>
    <t>ОБЩЕСТВО С ОГРАНИЧЕННОЙ ОТВЕТСТВЕННОСТЬЮ "БЕСТБЕТОН"</t>
  </si>
  <si>
    <t>9310004280</t>
  </si>
  <si>
    <t>1229300139716</t>
  </si>
  <si>
    <t>287537, ДОНЕЦКАЯ НАРОДНАЯ РЕСПУБЛИКА, МАРИУПОЛЬ, Г. МАРИУПОЛЬ, Г. МАРИУПОЛЬ, УЛ. БАХЧИВАНДЖИ, Д. 27А</t>
  </si>
  <si>
    <t>ООО "ЗОДИАК"</t>
  </si>
  <si>
    <t>ОБЩЕСТВО С ОГРАНИЧЕННОЙ ОТВЕТСТВЕННОСТЬЮ "ЗОДИАК"</t>
  </si>
  <si>
    <t>9310004749</t>
  </si>
  <si>
    <t>1229300140520</t>
  </si>
  <si>
    <t>ДОНЕЦКАЯ НАРОДНАЯ РЕСПУБЛИКА, МАРИУПОЛЬ, Г. МАРИУПОЛЬ, Г. МАРИУПОЛЬ, УЛ. ВЛАДИМИРСКАЯ, Д. 112</t>
  </si>
  <si>
    <t>ООО "ТРАСТБУДГРУП"</t>
  </si>
  <si>
    <t>ОБЩЕСТВО С ОГРАНИЧЕННОЙ ОТВЕТСТВЕННОСТЬЮ "ТРАСТБУДГРУП"</t>
  </si>
  <si>
    <t>9310005894</t>
  </si>
  <si>
    <t>1229300142796</t>
  </si>
  <si>
    <t>ООО "ТРЕЙД ИНВЕСТ ГРУПП"</t>
  </si>
  <si>
    <t>ОБЩЕСТВО С ОГРАНИЧЕННОЙ ОТВЕТСТВЕННОСТЬЮ "ТРЕЙД ИНВЕСТ ГРУПП"</t>
  </si>
  <si>
    <t>9310003520</t>
  </si>
  <si>
    <t>1229300138363</t>
  </si>
  <si>
    <t>287537, ДОНЕЦКАЯ НАРОДНАЯ РЕСПУБЛИКА, МАРИУПОЛЬ, Г. МАРИУПОЛЬ, Г. МАРИУПОЛЬ, УЛ. КАРЛА ЛИБКНЕХТА, Д. 105</t>
  </si>
  <si>
    <t>ООО "СТРОЙСПЕЦСЕРВИС"</t>
  </si>
  <si>
    <t>ОБЩЕСТВО С ОГРАНИЧЕННОЙ ОТВЕТСТВЕННОСТЬЮ "СТРОЙСПЕЦСЕРВИС"</t>
  </si>
  <si>
    <t>9310000744</t>
  </si>
  <si>
    <t>1229300132027</t>
  </si>
  <si>
    <t>287541, ДОНЕЦКАЯ НАРОДНАЯ РЕСПУБЛИКА, МАРИУПОЛЬ, Г. МАРИУПОЛЬ, Г. МАРИУПОЛЬ, ПР-КТ 1 МАЯ, Д. 53</t>
  </si>
  <si>
    <t>ООО "МИР РАЗВЛЕЧЕНИЙ"</t>
  </si>
  <si>
    <t>ОБЩЕСТВО С ОГРАНИЧЕННОЙ ОТВЕТСТВЕННОСТЬЮ "МИР РАЗВЛЕЧЕНИЙ"</t>
  </si>
  <si>
    <t>9310005132</t>
  </si>
  <si>
    <t>1229300140893</t>
  </si>
  <si>
    <t>ООО "ИПК "АЛЬЯНС"</t>
  </si>
  <si>
    <t>ОБЩЕСТВО С ОГРАНИЧЕННОЙ ОТВЕТСТВЕННОСТЬЮ "ИНДУСТРИАЛЬНО-ПРОМЫШЛЕННАЯ КОМПАНИЯ "АЛЬЯНС"</t>
  </si>
  <si>
    <t>9310002808</t>
  </si>
  <si>
    <t>1229300137000</t>
  </si>
  <si>
    <t>287549, ДОНЕЦКАЯ НАРОДНАЯ РЕСПУБЛИКА, МАРИУПОЛЬ, Г. МАРИУПОЛЬ, Г. МАРИУПОЛЬ, ПР-КТ МЕТАЛЛУРГОВ, Д. 99, КОМ. 3</t>
  </si>
  <si>
    <t>ООО "ГЕРМЕС"</t>
  </si>
  <si>
    <t>ОБЩЕСТВО С ОГРАНИЧЕННОЙ ОТВЕТСТВЕННОСТЬЮ "ГЕРМЕС"</t>
  </si>
  <si>
    <t>9310003449</t>
  </si>
  <si>
    <t>1229300138374</t>
  </si>
  <si>
    <t>287541, ДОНЕЦКАЯ НАРОДНАЯ РЕСПУБЛИКА, МАРИУПОЛЬ, Г. МАРИУПОЛЬ, Г. МАРИУПОЛЬ, УЛ. МЕРЗЛЯКА, Д. 4</t>
  </si>
  <si>
    <t>ООО "ЮВИС"</t>
  </si>
  <si>
    <t>ОБЩЕСТВО С ОГРАНИЧЕННОЙ ОТВЕТСТВЕННОСТЬЮ "ЮВИС"</t>
  </si>
  <si>
    <t>9310000783</t>
  </si>
  <si>
    <t>1229300132038</t>
  </si>
  <si>
    <t>ООО "СПУТНИК ТРЕВЕЛ"</t>
  </si>
  <si>
    <t>ОБЩЕСТВО С ОГРАНИЧЕННОЙ ОТВЕТСТВЕННОСТЬЮ "СПУТНИК ТРЕВЕЛ"</t>
  </si>
  <si>
    <t>9310004499</t>
  </si>
  <si>
    <t>1229300139958</t>
  </si>
  <si>
    <t>ДОНЕЦКАЯ НАРОДНАЯ РЕСПУБЛИКА, МАРИУПОЛЬ, Г. МАРИУПОЛЬ, Г. МАРИУПОЛЬ, УЛ. МИТРОПОЛИТСКАЯ, Д. 60, ОФИС 1</t>
  </si>
  <si>
    <t>ООО "СПФ "СТРОЙПРОДУКТ"</t>
  </si>
  <si>
    <t>ОБЩЕСТВО С ОГРАНИЧЕННОЙ ОТВЕТСТВЕННОСТЬЮ "СПФ "СТРОЙПРОДУКТ"</t>
  </si>
  <si>
    <t>9310005439</t>
  </si>
  <si>
    <t>1229300141938</t>
  </si>
  <si>
    <t>ООО "КАФЕ "ЭЛЛАДА"</t>
  </si>
  <si>
    <t>ОБЩЕСТВО С ОГРАНИЧЕННОЙ ОТВЕТСТВЕННОСТЬЮ "КАФЕ "ЭЛЛАДА"</t>
  </si>
  <si>
    <t>9310005598</t>
  </si>
  <si>
    <t>1229300142114</t>
  </si>
  <si>
    <t>287537, ДОНЕЦКАЯ НАРОДНАЯ РЕСПУБЛИКА, МАРИУПОЛЬ, Г. МАРИУПОЛЬ, Г. МАРИУПОЛЬ, ПР-КТ СТРОИТЕЛЕЙ, Д. 72А</t>
  </si>
  <si>
    <t>ООО "ЦПСВТ"</t>
  </si>
  <si>
    <t>ОБЩЕСТВО С ОГРАНИЧЕННОЙ ОТВЕТСТВЕННОСТЬЮ "ЦЕНТР ПОДГОТОВКИ СПЕЦИАЛИСТОВ ВОДНОГО ТРАНСПОРТА"</t>
  </si>
  <si>
    <t>9310005238</t>
  </si>
  <si>
    <t>1229300141510</t>
  </si>
  <si>
    <t>287501, ДОНЕЦКАЯ НАРОДНАЯ РЕСПУБЛИКА, МАРИУПОЛЬ, Г. МАРИУПОЛЬ, Г. МАРИУПОЛЬ, ПЕР. ПЛЯЖНЫЙ, Д. 3А</t>
  </si>
  <si>
    <t>ООО "ТРОПИК-ЛАЙФ"</t>
  </si>
  <si>
    <t>ОБЩЕСТВО С ОГРАНИЧЕННОЙ ОТВЕТСТВЕННОСТЬЮ "ТРОПИК-ЛАЙФ"</t>
  </si>
  <si>
    <t>9310004315</t>
  </si>
  <si>
    <t>1229300139881</t>
  </si>
  <si>
    <t>ООО "ТАНСУ"</t>
  </si>
  <si>
    <t>ОБЩЕСТВО С ОГРАНИЧЕННОЙ ОТВЕТСТВЕННОСТЬЮ "ТАНСУ"</t>
  </si>
  <si>
    <t>9310000913</t>
  </si>
  <si>
    <t>1229300132181</t>
  </si>
  <si>
    <t>287524, ДОНЕЦКАЯ НАРОДНАЯ РЕСПУБЛИКА, МАРИУПОЛЬ, Г. МАРИУПОЛЬ, Г. МАРИУПОЛЬ, ПР-КТ КАРПОВА, Д. 82А</t>
  </si>
  <si>
    <t>ООО "БУДИНВЕСТ"</t>
  </si>
  <si>
    <t>ОБЩЕСТВО С ОГРАНИЧЕННОЙ ОТВЕТСТВЕННОСТЬЮ "БУДИНВЕСТ"</t>
  </si>
  <si>
    <t>9310005421</t>
  </si>
  <si>
    <t>1229300141839</t>
  </si>
  <si>
    <t>ООО "АВЕРС-АВТО"</t>
  </si>
  <si>
    <t>ОБЩЕСТВО С ОГРАНИЧЕННОЙ ОТВЕТСТВЕННОСТЬЮ "АВЕРС-АВТО"</t>
  </si>
  <si>
    <t>9310004611</t>
  </si>
  <si>
    <t>1229300140244</t>
  </si>
  <si>
    <t>ООО "АВЕРС-ИНВЕСТ"</t>
  </si>
  <si>
    <t>ОБЩЕСТВО С ОГРАНИЧЕННОЙ ОТВЕТСТВЕННОСТЬЮ "АВЕРС-ИНВЕСТ"</t>
  </si>
  <si>
    <t>9310003872</t>
  </si>
  <si>
    <t>1229300139034</t>
  </si>
  <si>
    <t>ООО"АСТИКО"</t>
  </si>
  <si>
    <t>ОБЩЕСТВО С ОГРАНИЧЕННОЙ ОТВЕТСТВЕННОСТЬЮ"АСТИКО"</t>
  </si>
  <si>
    <t>9310005333</t>
  </si>
  <si>
    <t>1229300141850</t>
  </si>
  <si>
    <t>287526, ДОНЕЦКАЯ НАРОДНАЯ РЕСПУБЛИКА, МАРИУПОЛЬ, Г. МАРИУПОЛЬ, Г. МАРИУПОЛЬ, ПР-КТ 1 МАЯ, Д. 100</t>
  </si>
  <si>
    <t>ООО "ВОЛНА"</t>
  </si>
  <si>
    <t>ОБЩЕСТВО С ОГРАНИЧЕННОЙ ОТВЕТСТВЕННОСТЬЮ "ВОЛНА"</t>
  </si>
  <si>
    <t>9310002766</t>
  </si>
  <si>
    <t>1229300136724</t>
  </si>
  <si>
    <t>287524, ДОНЕЦКАЯ НАРОДНАЯ РЕСПУБЛИКА, МАРИУПОЛЬ, Г. МАРИУПОЛЬ, Г. МАРИУПОЛЬ, ПР-КТ МЕТАЛЛУРГОВ, Д. 174</t>
  </si>
  <si>
    <t>ООО "ВОЛОДАРСКОЕ АТП"</t>
  </si>
  <si>
    <t>ОБЩЕСТВО С ОГРАНИЧЕННОЙ ОТВЕТСТВЕННОСТЬЮ "ВОЛОДАРСКОЕ АТП"</t>
  </si>
  <si>
    <t>9310002318</t>
  </si>
  <si>
    <t>1229300135745</t>
  </si>
  <si>
    <t>287526, ДОНЕЦКАЯ НАРОДНАЯ РЕСПУБЛИКА, МАРИУПОЛЬ, Г. МАРИУПОЛЬ, Г. МАРИУПОЛЬ, УЛ. ОЛИМПИЙСКАЯ, Д. 77, КВ. 83</t>
  </si>
  <si>
    <t>ООО "ПРИАЗОВСТРОЙ"</t>
  </si>
  <si>
    <t>ОБЩЕСТВО С ОГРАНИЧЕННОЙ ОТВЕТСТВЕННОСТЬЮ "ПРИАЗОВСТРОЙ"</t>
  </si>
  <si>
    <t>9310002935</t>
  </si>
  <si>
    <t>1229300137318</t>
  </si>
  <si>
    <t>287501, ДОНЕЦКАЯ НАРОДНАЯ РЕСПУБЛИКА, МАРИУПОЛЬ, Г. МАРИУПОЛЬ, Г. МАРИУПОЛЬ, ПР-КТ СТРОИТЕЛЕЙ, Д. 75, КВ. 56</t>
  </si>
  <si>
    <t>ООО "СМФ" БУДМАРИ"</t>
  </si>
  <si>
    <t>ОБЩЕСТВО С ОГРАНИЧЕННОЙ ОТВЕТСТВЕННОСТЬЮ "СТРОИТЕЛЬНО-МОНТАЖНАЯ ФИРМА" БУДМАРИ"</t>
  </si>
  <si>
    <t>9310002692</t>
  </si>
  <si>
    <t>1229300136702</t>
  </si>
  <si>
    <t>ООО "ШВЕЙНИК"</t>
  </si>
  <si>
    <t>ОБЩЕСТВО С ОГРАНИЧЕННОЙ ОТВЕТСТВЕННОСТЬЮ "ШВЕЙНИК"</t>
  </si>
  <si>
    <t>9310002068</t>
  </si>
  <si>
    <t>1229300135074</t>
  </si>
  <si>
    <t>287549, ДОНЕЦКАЯ НАРОДНАЯ РЕСПУБЛИКА, МАРИУПОЛЬ, Г. МАРИУПОЛЬ, Г. МАРИУПОЛЬ, УЛ. АРТЁМА, Д. 51, ПОМЕЩ. 41</t>
  </si>
  <si>
    <t>ООО "ВЕРШИНА"</t>
  </si>
  <si>
    <t>ОБЩЕСТВО С ОГРАНИЧЕННОЙ ОТВЕТСТВЕННОСТЬЮ "ВЕРШИНА"</t>
  </si>
  <si>
    <t>9310005340</t>
  </si>
  <si>
    <t>1229300141795</t>
  </si>
  <si>
    <t>ООО "КОНТИНЕНТ ПРОМ СНАБ"</t>
  </si>
  <si>
    <t>ОБЩЕСТВО С ОГРАНИЧЕННОЙ ОТВЕТСТВЕННОСТЬЮ "КОНТИНЕНТ ПРОМ СНАБ"</t>
  </si>
  <si>
    <t>9310003760</t>
  </si>
  <si>
    <t>1229300138704</t>
  </si>
  <si>
    <t>287512, ДОНЕЦКАЯ НАРОДНАЯ РЕСПУБЛИКА, МАРИУПОЛЬ, Г. МАРИУПОЛЬ, Г. МАРИУПОЛЬ, УЛ. КАРЛА ЛИБКНЕХТА, Д. 10Б</t>
  </si>
  <si>
    <t>ООО "МЕДИСТАР"</t>
  </si>
  <si>
    <t>ОБЩЕСТВО С ОГРАНИЧЕННОЙ ОТВЕТСТВЕННОСТЬЮ "МЕДИСТАР"</t>
  </si>
  <si>
    <t>9310001385</t>
  </si>
  <si>
    <t>1229300132918</t>
  </si>
  <si>
    <t>ООО "МЕДИЦИНСКИЙ ЦЕНТР "АВИЦЕННА"</t>
  </si>
  <si>
    <t>ОБЩЕСТВО С ОГРАНИЧЕННОЙ ОТВЕТСТВЕННОСТЬЮ "МЕДИЦИНСКИЙ ЦЕНТР "АВИЦЕННА"</t>
  </si>
  <si>
    <t>9310004883</t>
  </si>
  <si>
    <t>1229300140926</t>
  </si>
  <si>
    <t>287501, ДОНЕЦКАЯ НАРОДНАЯ РЕСПУБЛИКА, МАРИУПОЛЬ, Г. МАРИУПОЛЬ, Г. МАРИУПОЛЬ, ПР-КТ СТРОИТЕЛЕЙ, Д. 71, ОФИС 82</t>
  </si>
  <si>
    <t>ООО "АПТЕКА № 134"</t>
  </si>
  <si>
    <t>ОБЩЕСТВО С ОГРАНИЧЕННОЙ ОТВЕТСТВЕННОСТЬЮ "АПТЕКА № 134"</t>
  </si>
  <si>
    <t>9310001836</t>
  </si>
  <si>
    <t>1229300134205</t>
  </si>
  <si>
    <t>ООО "ТЕРРА ТРЕЙДИНГ"</t>
  </si>
  <si>
    <t>ОБЩЕСТВО С ОГРАНИЧЕННОЙ ОТВЕТСТВЕННОСТЬЮ "ТЕРРА ТРЕЙДИНГ"</t>
  </si>
  <si>
    <t>9310001473</t>
  </si>
  <si>
    <t>1229300133204</t>
  </si>
  <si>
    <t>287549, ДОНЕЦКАЯ НАРОДНАЯ РЕСПУБЛИКА, МАРИУПОЛЬ, Г. МАРИУПОЛЬ, Г. МАРИУПОЛЬ, ПР-КТ МЕТАЛЛУРГОВ, Д. 96</t>
  </si>
  <si>
    <t>ЧАО "ПРИАЗОВСКАЯ ЭКСКАВАЦИЯ"</t>
  </si>
  <si>
    <t>ЧАСТНОЕ АКЦИОНЕРНОЕ ОБЩЕСТВО "ПРИАЗОВСКАЯ ЭКСКАВАЦИЯ"</t>
  </si>
  <si>
    <t>9310000720</t>
  </si>
  <si>
    <t>1229300132016</t>
  </si>
  <si>
    <t>287501, ДОНЕЦКАЯ НАРОДНАЯ РЕСПУБЛИКА, МАРИУПОЛЬ, Г. МАРИУПОЛЬ, Г. МАРИУПОЛЬ, ПР-КТ 1 МАЯ, Д. 108А</t>
  </si>
  <si>
    <t>ЧП "МИРФОС"</t>
  </si>
  <si>
    <t>ЧАСТНОЕ ПРЕДПРИЯТИЕ "МИРФОС"</t>
  </si>
  <si>
    <t>9310005534</t>
  </si>
  <si>
    <t>1229300142037</t>
  </si>
  <si>
    <t>287524, ДОНЕЦКАЯ НАРОДНАЯ РЕСПУБЛИКА, МАРИУПОЛЬ, Г. МАРИУПОЛЬ, Г. МАРИУПОЛЬ, ПР-КТ ИЛЬИЧА, Д. 141</t>
  </si>
  <si>
    <t>ЧП "НЕБОЛИТ"</t>
  </si>
  <si>
    <t>ЧАСТНОЕ ПРЕДПРИЯТИЕ "НЕБОЛИТ"</t>
  </si>
  <si>
    <t>9310006023</t>
  </si>
  <si>
    <t>1229300168130</t>
  </si>
  <si>
    <t>287526, ДОНЕЦКАЯ НАРОДНАЯ РЕСПУБЛИКА, МАРИУПОЛЬ, Г. МАРИУПОЛЬ, Г. МАРИУПОЛЬ, УЛ. НИКУЛИНА, Д. 20</t>
  </si>
  <si>
    <t>ООО "НИКА-ПЛЮС"</t>
  </si>
  <si>
    <t>ОБЩЕСТВО С ОГРАНИЧЕННОЙ ОТВЕТСТВЕННОСТЬЮ "НИКА-ПЛЮС"</t>
  </si>
  <si>
    <t>9310004026</t>
  </si>
  <si>
    <t>1229300139287</t>
  </si>
  <si>
    <t>287537, ДОНЕЦКАЯ НАРОДНАЯ РЕСПУБЛИКА, МАРИУПОЛЬ, Г. МАРИУПОЛЬ, Г. МАРИУПОЛЬ, ПР-КТ СТРОИТЕЛЕЙ, Д. 84, КВ. 8</t>
  </si>
  <si>
    <t>ООО "НИКОН"</t>
  </si>
  <si>
    <t>ОБЩЕСТВО С ОГРАНИЧЕННОЙ ОТВЕТСТВЕННОСТЬЮ "НИКОН"</t>
  </si>
  <si>
    <t>9310006104</t>
  </si>
  <si>
    <t>1229300173277</t>
  </si>
  <si>
    <t>287526, ДОНЕЦКАЯ НАРОДНАЯ РЕСПУБЛИКА, МАРИУПОЛЬ, Г. МАРИУПОЛЬ, Г. МАРИУПОЛЬ, ПР-КТ ПОБЕДЫ, Д. 106А</t>
  </si>
  <si>
    <t>ООО "НИКОС"</t>
  </si>
  <si>
    <t>ОБЩЕСТВО С ОГРАНИЧЕННОЙ ОТВЕТСТВЕННОСТЬЮ "НИКОС"</t>
  </si>
  <si>
    <t>9310005990</t>
  </si>
  <si>
    <t>1229300166765</t>
  </si>
  <si>
    <t>287510, ДОНЕЦКАЯ НАРОДНАЯ РЕСПУБЛИКА, МАРИУПОЛЬ, Г. МАРИУПОЛЬ, Г. МАРИУПОЛЬ, ПР-КТ НАХИМОВА, Д. 104</t>
  </si>
  <si>
    <t>ООО "АЛЬФА-АЗОВ ЛТД"</t>
  </si>
  <si>
    <t>ОБЩЕСТВО С ОГРАНИЧЕННОЙ ОТВЕТСТВЕННОСТЬЮ "АЛЬФА-АЗОВ ЛТД"</t>
  </si>
  <si>
    <t>9310001096</t>
  </si>
  <si>
    <t>1229300132390</t>
  </si>
  <si>
    <t>ООО "АЛЬФА-АЗОВ"</t>
  </si>
  <si>
    <t>ОБЩЕСТВО С ОГРАНИЧЕННОЙ ОТВЕТСТВЕННОСТЬЮ "АЛЬФА-АЗОВ"</t>
  </si>
  <si>
    <t>9310001018</t>
  </si>
  <si>
    <t>1229300132346</t>
  </si>
  <si>
    <t>ООО "АЛЬФА-ГРАНД"</t>
  </si>
  <si>
    <t>ОБЩЕСТВО С ОГРАНИЧЕННОЙ ОТВЕТСТВЕННОСТЬЮ "АЛЬФА-ГРАНД"</t>
  </si>
  <si>
    <t>9310001240</t>
  </si>
  <si>
    <t>1229300132600</t>
  </si>
  <si>
    <t>ООО "АЛЬФА-КОМБАТ ЛТД"</t>
  </si>
  <si>
    <t>ОБЩЕСТВО С ОГРАНИЧЕННОЙ ОТВЕТСТВЕННОСТЬЮ "АЛЬФА-КОМБАТ ЛТД"</t>
  </si>
  <si>
    <t>9310001032</t>
  </si>
  <si>
    <t>1229300132522</t>
  </si>
  <si>
    <t>ООО "АЛЬФА-ОБЕРЕГ ЛТД"</t>
  </si>
  <si>
    <t>ОБЩЕСТВО С ОГРАНИЧЕННОЙ ОТВЕТСТВЕННОСТЬЮ "АЛЬФА-ОБЕРЕГ ЛТД"</t>
  </si>
  <si>
    <t>9310001184</t>
  </si>
  <si>
    <t>1229300132544</t>
  </si>
  <si>
    <t>ООО "АЛЬФА-ОБЕРЕГ"</t>
  </si>
  <si>
    <t>ОБЩЕСТВО С ОГРАНИЧЕННОЙ ОТВЕТСТВЕННОСТЬЮ "АЛЬФА-ОБЕРЕГ"</t>
  </si>
  <si>
    <t>9310000656</t>
  </si>
  <si>
    <t>1229300131895</t>
  </si>
  <si>
    <t>ООО "ПЕЛЬМЕННАЯ"</t>
  </si>
  <si>
    <t>ОБЩЕСТВО С ОГРАНИЧЕННОЙ ОТВЕТСТВЕННОСТЬЮ "ПЕЛЬМЕННАЯ"</t>
  </si>
  <si>
    <t>9310005541</t>
  </si>
  <si>
    <t>1229300142170</t>
  </si>
  <si>
    <t>287541, ДОНЕЦКАЯ НАРОДНАЯ РЕСПУБЛИКА, МАРИУПОЛЬ, Г. МАРИУПОЛЬ, Г. МАРИУПОЛЬ, Б-Р 50 ЛЕТ ОКТЯБРЯ, Д. 21/43</t>
  </si>
  <si>
    <t>ООО "СТОИК-СЕРВИС"</t>
  </si>
  <si>
    <t>ОБЩЕСТВО С ОГРАНИЧЕННОЙ ОТВЕТСТВЕННОСТЬЮ "СТОИК-СЕРВИС"</t>
  </si>
  <si>
    <t>9310003209</t>
  </si>
  <si>
    <t>1229300137956</t>
  </si>
  <si>
    <t>287524, ДОНЕЦКАЯ НАРОДНАЯ РЕСПУБЛИКА, МАРИУПОЛЬ, Г. МАРИУПОЛЬ, Г. МАРИУПОЛЬ, УЛ. СЕЧЕНОВА, Д. 63А, ПОМЕЩ. 123</t>
  </si>
  <si>
    <t>ООО"ИЮЛЬ-НОРД"</t>
  </si>
  <si>
    <t>ОБЩЕСТВО С ОГРАНИЧЕННОЙ ОТВЕТСТВЕННОСТЬЮ"ИЮЛЬ-НОРД"</t>
  </si>
  <si>
    <t>9310001723</t>
  </si>
  <si>
    <t>1229300133534</t>
  </si>
  <si>
    <t>287513, ДОНЕЦКАЯ НАРОДНАЯ РЕСПУБЛИКА, МАРИУПОЛЬ, Г. МАРИУПОЛЬ, Г. МАРИУПОЛЬ, УЛ. КАРПИНСКОГО, Д. 54</t>
  </si>
  <si>
    <t>ООО "СЕРВИСНЫЙ ЦЕНТР "ДЭУ МОТОР"</t>
  </si>
  <si>
    <t>ОБЩЕСТВО С ОГРАНИЧЕННОЙ ОТВЕТСТВЕННОСТЬЮ "СЕРВИСНЫЙ ЦЕНТР "ДЭУ МОТОР"</t>
  </si>
  <si>
    <t>9310005206</t>
  </si>
  <si>
    <t>1229300141498</t>
  </si>
  <si>
    <t>287510, ДОНЕЦКАЯ НАРОДНАЯ РЕСПУБЛИКА, МАРИУПОЛЬ, Г. МАРИУПОЛЬ, Г. МАРИУПОЛЬ, УЛ. КРАСНОФЛОТСКАЯ, Д. 145</t>
  </si>
  <si>
    <t>ООО "ТД БЛОМБЕРГ"</t>
  </si>
  <si>
    <t>ОБЩЕСТВО С ОГРАНИЧЕННОЙ ОТВЕТСТВЕННОСТЬЮ "ТД БЛОМБЕРГ"</t>
  </si>
  <si>
    <t>9310000977</t>
  </si>
  <si>
    <t>1229300132071</t>
  </si>
  <si>
    <t>287512, ДОНЕЦКАЯ НАРОДНАЯ РЕСПУБЛИКА, МАРИУПОЛЬ, Г. МАРИУПОЛЬ, Г. МАРИУПОЛЬ, УЛ. 60 ЛЕТ СССР, Д. 31</t>
  </si>
  <si>
    <t>ООО "Т-МЕДИЛ"</t>
  </si>
  <si>
    <t>ОБЩЕСТВО С ОГРАНИЧЕННОЙ ОТВЕТСТВЕННОСТЬЮ  "Т-МЕДИЛ"</t>
  </si>
  <si>
    <t>9310003939</t>
  </si>
  <si>
    <t>1229300139067</t>
  </si>
  <si>
    <t>287501, ДОНЕЦКАЯ НАРОДНАЯ РЕСПУБЛИКА, МАРИУПОЛЬ, Г. МАРИУПОЛЬ, Г. МАРИУПОЛЬ, УЛ. ЛАВИЦКОГО, Д. 23, ПОМЕЩ. 2</t>
  </si>
  <si>
    <t>ООО "УМ "ВОСТОК"</t>
  </si>
  <si>
    <t>ОБЩЕСТВО С ОГРАНИЧЕННОЙ ОТВЕТСТВЕННОСТЬЮ "УПРАВЛЕНИЕ МЕХАНИЗАЦИИ "ВОСТОК"</t>
  </si>
  <si>
    <t>9310000737</t>
  </si>
  <si>
    <t>1229300131961</t>
  </si>
  <si>
    <t>ООО "ОСМОСТЕХНОЛОГИЯ"</t>
  </si>
  <si>
    <t>ОБЩЕСТВО С ОГРАНИЧЕННОЙ ОТВЕТСТВЕННОСТЬЮ "ОСМОСТЕХНОЛОГИЯ"</t>
  </si>
  <si>
    <t>9310005767</t>
  </si>
  <si>
    <t>1229300142390</t>
  </si>
  <si>
    <t>287501, ДОНЕЦКАЯ НАРОДНАЯ РЕСПУБЛИКА, МАРИУПОЛЬ, Г. МАРИУПОЛЬ, Г. МАРИУПОЛЬ, ПР-КТ ЛЕНИНА, Д. 96, ПОМЕЩ. 67</t>
  </si>
  <si>
    <t>ТСН "ГК "ТАВРИДА"</t>
  </si>
  <si>
    <t>ТОВАРИЩЕСТВО СОБСТВЕННИКОВ НЕДВИЖИМОСТИ "ГАРАЖНЫЙ КООПЕРАТИВ "ТАВРИДА"</t>
  </si>
  <si>
    <t>9310005365</t>
  </si>
  <si>
    <t>1229300141806</t>
  </si>
  <si>
    <t>287537, ДОНЕЦКАЯ НАРОДНАЯ РЕСПУБЛИКА, МАРИУПОЛЬ, Г. МАРИУПОЛЬ, Г. МАРИУПОЛЬ, УЛ. КЛЕНОВАЯ, Д. 1</t>
  </si>
  <si>
    <t>ООО "АЗОВСТРОИТЕЛЬСТВО"</t>
  </si>
  <si>
    <t>ОБЩЕСТВО С ОГРАНИЧЕННОЙ ОТВЕТСТВЕННОСТЬЮ "АЗОВСТРОИТЕЛЬСТВО"</t>
  </si>
  <si>
    <t>9310002212</t>
  </si>
  <si>
    <t>1229300135591</t>
  </si>
  <si>
    <t>ООО "БЕЛЫЙ МЕДВЕДЬ"</t>
  </si>
  <si>
    <t>ОБЩЕСТВО С ОГРАНИЧЕННОЙ ОТВЕТСТВЕННОСТЬЮ "БЕЛЫЙ МЕДВЕДЬ"</t>
  </si>
  <si>
    <t>9310003625</t>
  </si>
  <si>
    <t>1229300138572</t>
  </si>
  <si>
    <t>287557, ДОНЕЦКАЯ НАРОДНАЯ РЕСПУБЛИКА, МАРИУПОЛЬ, Г. МАРИУПОЛЬ, Г. МАРИУПОЛЬ, ПЕР. ЛЕВОБЕРЕЖНЫЙ, Д. 4</t>
  </si>
  <si>
    <t>ООО "АЗОВТЕНГРИ"</t>
  </si>
  <si>
    <t>ОБЩЕСТВО С ОГРАНИЧЕННОЙ ОТВЕТСТВЕННОСТЬЮ "АЗОВТЕНГРИ"</t>
  </si>
  <si>
    <t>9310003960</t>
  </si>
  <si>
    <t>1229300139166</t>
  </si>
  <si>
    <t>ООО "АЗОВТЕХПРОМСЕРВИС"</t>
  </si>
  <si>
    <t>ОБЩЕСТВО С ОГРАНИЧЕННОЙ ОТВЕТСТВЕННОСТЬЮ "АЗОВТЕХПРОМСЕРВИС"</t>
  </si>
  <si>
    <t>9310001466</t>
  </si>
  <si>
    <t>1229300132951</t>
  </si>
  <si>
    <t>287552, ДОНЕЦКАЯ НАРОДНАЯ РЕСПУБЛИКА, МАРИУПОЛЬ, Г. МАРИУПОЛЬ, Г. МАРИУПОЛЬ, УЛ. МЮДА, Д. 23</t>
  </si>
  <si>
    <t>ООО "АЗОВТРАКСЕРВИС"</t>
  </si>
  <si>
    <t>ОБЩЕСТВО С ОГРАНИЧЕННОЙ ОТВЕТСТВЕННОСТЬЮ "АЗОВТРАКСЕРВИС"</t>
  </si>
  <si>
    <t>9310003047</t>
  </si>
  <si>
    <t>1229300137660</t>
  </si>
  <si>
    <t>287554, ДОНЕЦКАЯ НАРОДНАЯ РЕСПУБЛИКА, МАРИУПОЛЬ, Г. МАРИУПОЛЬ, Г. МАРИУПОЛЬ, ПР-КТ СТРОИТЕЛЕЙ, Д. 187, КВ. 9</t>
  </si>
  <si>
    <t>ООО "АЗОВТРАНСГРУПП"</t>
  </si>
  <si>
    <t>ОБЩЕСТВО С ОГРАНИЧЕННОЙ ОТВЕТСТВЕННОСТЬЮ "АЗОВТРАНСГРУПП"</t>
  </si>
  <si>
    <t>9310002484</t>
  </si>
  <si>
    <t>1229300136097</t>
  </si>
  <si>
    <t>ООО "АЗОВЮГ"</t>
  </si>
  <si>
    <t>ОБЩЕСТВО С ОГРАНИЧЕННОЙ ОТВЕТСТВЕННОСТЬЮ "АЗОВЮГ"</t>
  </si>
  <si>
    <t>9310005460</t>
  </si>
  <si>
    <t>1229300142070</t>
  </si>
  <si>
    <t>287549, ДОНЕЦКАЯ НАРОДНАЯ РЕСПУБЛИКА, МАРИУПОЛЬ, Г. МАРИУПОЛЬ, Г. МАРИУПОЛЬ, ПР-КТ МЕТАЛЛУРГОВ, Д. 99, КОМ. 2</t>
  </si>
  <si>
    <t>ООО "СК "АЛЬЯНС-СОДРУЖЕСТВО"</t>
  </si>
  <si>
    <t>ОБЩЕСТВО С ОГРАНИЧЕННОЙ ОТВЕТСТВЕННОСТЬЮ "СТРОИТЕЛЬНАЯ КОМПАНИЯ "АЛЬЯНС-СОДРУЖЕСТВО"</t>
  </si>
  <si>
    <t>9310005252</t>
  </si>
  <si>
    <t>1229300141443</t>
  </si>
  <si>
    <t>287537, ДОНЕЦКАЯ НАРОДНАЯ РЕСПУБЛИКА, МАРИУПОЛЬ, Г. МАРИУПОЛЬ, Г. МАРИУПОЛЬ, УЛ. КАРЛА ЛИБКНЕХТА, Д. 177, ОФИС 401</t>
  </si>
  <si>
    <t>ООО "РЕСТ-ИНВЕСТ"</t>
  </si>
  <si>
    <t>ОБЩЕСТВО С ОГРАНИЧЕННОЙ ОТВЕТСТВЕННОСТЬЮ "РЕСТ-ИНВЕСТ"</t>
  </si>
  <si>
    <t>9310002389</t>
  </si>
  <si>
    <t>1229300135965</t>
  </si>
  <si>
    <t>287554, ДОНЕЦКАЯ НАРОДНАЯ РЕСПУБЛИКА, МАРИУПОЛЬ, Г. МАРИУПОЛЬ, Г. МАРИУПОЛЬ, УЛ. УРИЦКОГО, Д. 83/23, КВ. 37</t>
  </si>
  <si>
    <t>ООО "КОНТРАКТ"</t>
  </si>
  <si>
    <t>ОБЩЕСТВО С ОГРАНИЧЕННОЙ ОТВЕТСТВЕННОСТЬЮ "КОНТРАКТ"</t>
  </si>
  <si>
    <t>9310000896</t>
  </si>
  <si>
    <t>1229300132270</t>
  </si>
  <si>
    <t>287501, ДОНЕЦКАЯ НАРОДНАЯ РЕСПУБЛИКА, МАРИУПОЛЬ, Г. МАРИУПОЛЬ, Г. МАРИУПОЛЬ, ПР-КТ НАХИМОВА, Д. 162</t>
  </si>
  <si>
    <t>ООО "СПРИНТ-КОЛОР"</t>
  </si>
  <si>
    <t>ОБЩЕСТВО С ОГРАНИЧЕННОЙ ОТВЕТСТВЕННОСТЬЮ "СПРИНТ-КОЛОР"</t>
  </si>
  <si>
    <t>9310005213</t>
  </si>
  <si>
    <t>1229300141509</t>
  </si>
  <si>
    <t>287501, ДОНЕЦКАЯ НАРОДНАЯ РЕСПУБЛИКА, МАРИУПОЛЬ, Г. МАРИУПОЛЬ, Г. МАРИУПОЛЬ, ПР-КТ ЛЕНИНА, Д. 96</t>
  </si>
  <si>
    <t>ООО "ТЕХНОСЕРВИС"</t>
  </si>
  <si>
    <t>ОБЩЕСТВО С ОГРАНИЧЕННОЙ ОТВЕТСТВЕННОСТЬЮ "ТЕХНОСЕРВИС"</t>
  </si>
  <si>
    <t>9310001593</t>
  </si>
  <si>
    <t>1229300133259</t>
  </si>
  <si>
    <t>287527, ДОНЕЦКАЯ НАРОДНАЯ РЕСПУБЛИКА, МАРИУПОЛЬ, Г. МАРИУПОЛЬ, Г. МАРИУПОЛЬ, УЛ. ЧЕЛЯБИНСКАЯ, Д. 1А</t>
  </si>
  <si>
    <t>ООО "РЕНТСЕЛ ГРУП"</t>
  </si>
  <si>
    <t>ОБЩЕСТВО С ОГРАНИЧЕННОЙ ОТВЕТСТВЕННОСТЬЮ "РЕНТСЕЛ ГРУП"</t>
  </si>
  <si>
    <t>9310002036</t>
  </si>
  <si>
    <t>1229300135063</t>
  </si>
  <si>
    <t>ООО "РЕНТСЕЛ"</t>
  </si>
  <si>
    <t>ОБЩЕСТВО С ОГРАНИЧЕННОЙ ОТВЕТСТВЕННОСТЬЮ "РЕНТСЕЛ"</t>
  </si>
  <si>
    <t>9310001890</t>
  </si>
  <si>
    <t>1229300134425</t>
  </si>
  <si>
    <t>ООО "РЕСУРС СНАБ ТЕХНОЛОГИЯ"</t>
  </si>
  <si>
    <t>ОБЩЕСТВО С ОГРАНИЧЕННОЙ ОТВЕТСТВЕННОСТЬЮ ООО "РЕСУРС СНАБ ТЕХНОЛОГИЯ"</t>
  </si>
  <si>
    <t>9310004820</t>
  </si>
  <si>
    <t>1229300140827</t>
  </si>
  <si>
    <t>287537, ДОНЕЦКАЯ НАРОДНАЯ РЕСПУБЛИКА, МАРИУПОЛЬ, Г. МАРИУПОЛЬ, Г. МАРИУПОЛЬ, ПР-КТ ЛЕНИНА, Д. 124</t>
  </si>
  <si>
    <t>ООО "ОРАНЖ ТРАНС"</t>
  </si>
  <si>
    <t>ОБЩЕСТВО С ОГРАНИЧЕННОЙ ОТВЕТСТВЕННОСТЬЮ "ОРАНЖ ТРАНС"</t>
  </si>
  <si>
    <t>9310002029</t>
  </si>
  <si>
    <t>1229300135118</t>
  </si>
  <si>
    <t>287526, ДОНЕЦКАЯ НАРОДНАЯ РЕСПУБЛИКА, МАРИУПОЛЬ, Г. МАРИУПОЛЬ, Г. МАРИУПОЛЬ, УЛ. 130 ТАГАНРОГСКОЙ ДИВИЗИИ, Д. 12, КВ. 69</t>
  </si>
  <si>
    <t>ООО "ОРВИН"</t>
  </si>
  <si>
    <t>ОБЩЕСТВО С ОГРАНИЧЕННОЙ ОТВЕТСТВЕННОСТЬЮ "ОРВИН"</t>
  </si>
  <si>
    <t>9310004146</t>
  </si>
  <si>
    <t>1229300139485</t>
  </si>
  <si>
    <t>287541, ДОНЕЦКАЯ НАРОДНАЯ РЕСПУБЛИКА, МАРИУПОЛЬ, Г. МАРИУПОЛЬ, Г. МАРИУПОЛЬ, УЛ. ВЛАДИМИРСКАЯ, Д. 36, КВ. 5</t>
  </si>
  <si>
    <t>ООО "ОРЕЛЬ"</t>
  </si>
  <si>
    <t>ОБЩЕСТВО С ОГРАНИЧЕННОЙ ОТВЕТСТВЕННОСТЬЮ "ОРЕЛЬ"</t>
  </si>
  <si>
    <t>9310002879</t>
  </si>
  <si>
    <t>1229300137010</t>
  </si>
  <si>
    <t>287541, ДОНЕЦКАЯ НАРОДНАЯ РЕСПУБЛИКА, МАРИУПОЛЬ, Г. МАРИУПОЛЬ, Г. МАРИУПОЛЬ, УЛ. ПАШКОВСКОГО, Д. 21</t>
  </si>
  <si>
    <t>ООО "ОЛМИС"</t>
  </si>
  <si>
    <t>ОБЩЕСТВО С ОГРАНИЧЕННОЙ ОТВЕТСТВЕННОСТЬЮ "ОЛМИС"</t>
  </si>
  <si>
    <t>9310005260</t>
  </si>
  <si>
    <t>1229300141520</t>
  </si>
  <si>
    <t>ООО "ОНИКС-ПРО 2022"</t>
  </si>
  <si>
    <t>ОБЩЕСТВО С ОГРАНИЧЕННОЙ ОТВЕТСТВЕННОСТЬЮ "ОНИКС-ПРО 2022"</t>
  </si>
  <si>
    <t>9310003061</t>
  </si>
  <si>
    <t>1229300137824</t>
  </si>
  <si>
    <t>ДОНЕЦКАЯ НАРОДНАЯ РЕСПУБЛИКА, МАРИУПОЛЬ, Г. МАРИУПОЛЬ, Г. МАРИУПОЛЬ, ПР-КТ МЕТАЛЛУРГОВ, Д. 111, КВ. 53</t>
  </si>
  <si>
    <t>ООО "МОНТАЖНИК 2019"</t>
  </si>
  <si>
    <t>ОБЩЕСТВО С ОГРАНИЧЕННОЙ ОТВЕТСТВЕННОСТЬЮ "МОНТАЖНИК 2019"</t>
  </si>
  <si>
    <t>9310005929</t>
  </si>
  <si>
    <t>1229300142697</t>
  </si>
  <si>
    <t>ООО "МОРСКИЕ КОМПЬЮТЕРНЫЕ ТЕХНОЛОГИИ"</t>
  </si>
  <si>
    <t>ОБЩЕСТВО С ОГРАНИЧЕННОЙ ОТВЕТСТВЕННОСТЬЮ "МОРСКИЕ КОМПЬЮТЕРНЫЕ ТЕХНОЛОГИИ"</t>
  </si>
  <si>
    <t>9310001071</t>
  </si>
  <si>
    <t>1229300132489</t>
  </si>
  <si>
    <t>287510, ДОНЕЦКАЯ НАРОДНАЯ РЕСПУБЛИКА, МАРИУПОЛЬ, Г. МАРИУПОЛЬ, Г. МАРИУПОЛЬ, ПР-КТ СТРОИТЕЛЕЙ, Д. 15, ПОМЕЩ. 67</t>
  </si>
  <si>
    <t>ООО "САТУРН"</t>
  </si>
  <si>
    <t>ОБЩЕСТВО С ОГРАНИЧЕННОЙ ОТВЕТСТВЕННОСТЬЮ "САТУРН"</t>
  </si>
  <si>
    <t>9310004650</t>
  </si>
  <si>
    <t>1229300140277</t>
  </si>
  <si>
    <t>ООО "ТОРГОВЫЙ ДОМ "МАКСИМ"</t>
  </si>
  <si>
    <t>ОБЩЕСТВО С ОГРАНИЧЕННОЙ ОТВЕТСТВЕННОСТЬЮ "ТОРГОВЫЙ ДОМ "МАКСИМ"</t>
  </si>
  <si>
    <t>9310000840</t>
  </si>
  <si>
    <t>1229300132137</t>
  </si>
  <si>
    <t>ООО "ТОРГОВЫЙ ДОМ БМС"</t>
  </si>
  <si>
    <t>ОБЩЕСТВО С ОГРАНИЧЕННОЙ ОТВЕТСТВЕННОСТЬЮ "ТОРГОВЫЙ ДОМ БМС"</t>
  </si>
  <si>
    <t>9310004080</t>
  </si>
  <si>
    <t>1229300139331</t>
  </si>
  <si>
    <t>ДОНЕЦКАЯ НАРОДНАЯ РЕСПУБЛИКА, МАРИУПОЛЬ, Г. МАРИУПОЛЬ, Г. МАРИУПОЛЬ, ПР-КТ КАРПОВА, Д. 26</t>
  </si>
  <si>
    <t>ООО "ЭКОИЛЬИЧПРОДУКТ"</t>
  </si>
  <si>
    <t>ОБЩЕСТВО С ОГРАНИЧЕННОЙ ОТВЕТСТВЕННОСТЬЮ "ЭКОИЛЬИЧПРОДУКТ"</t>
  </si>
  <si>
    <t>9310000575</t>
  </si>
  <si>
    <t>1229300131334</t>
  </si>
  <si>
    <t>287549, ДОНЕЦКАЯ НАРОДНАЯ РЕСПУБЛИКА, МАРИУПОЛЬ, Г. МАРИУПОЛЬ, Г. МАРИУПОЛЬ, УЛ. СВОБОДЫ, Д. 20</t>
  </si>
  <si>
    <t>ООО "ЭКОМАРКЕТ НАША МАРКА"</t>
  </si>
  <si>
    <t>ОБЩЕСТВО С ОГРАНИЧЕННОЙ ОТВЕТСТВЕННОСТЬЮ "ЭКОМАРКЕТ НАША МАРКА"</t>
  </si>
  <si>
    <t>9310000110</t>
  </si>
  <si>
    <t>1229300126439</t>
  </si>
  <si>
    <t>ООО "МКИ АЛЬЯНС"</t>
  </si>
  <si>
    <t>ОБЩЕСТВО С ОГРАНИЧЕННОЙ ОТВЕТСТВЕННОСТЬЮ "МКИ АЛЬЯНС"</t>
  </si>
  <si>
    <t>9310001988</t>
  </si>
  <si>
    <t>1229300135096</t>
  </si>
  <si>
    <t>ООО "МКМ-СТРОЙ"</t>
  </si>
  <si>
    <t>ОБЩЕСТВО С ОГРАНИЧЕННОЙ ОТВЕТСТВЕННОСТЬЮ "МКМ-СТРОЙ"</t>
  </si>
  <si>
    <t>9310003791</t>
  </si>
  <si>
    <t>1229300138880</t>
  </si>
  <si>
    <t>287521, ДОНЕЦКАЯ НАРОДНАЯ РЕСПУБЛИКА, МАРИУПОЛЬ, Г. МАРИУПОЛЬ, Г. МАРИУПОЛЬ, УЛ. КРИСТАЛЬНАЯ, Д. 25</t>
  </si>
  <si>
    <t>ООО "ММК ИМ. ИЛЬИЧА"</t>
  </si>
  <si>
    <t>ОБЩЕСТВО С ОГРАНИЧЕННОЙ ОТВЕТСТВЕННОСТЬЮ "ММК ИМЕНИ ИЛЬИЧА"</t>
  </si>
  <si>
    <t>9311018952</t>
  </si>
  <si>
    <t>1229300136823</t>
  </si>
  <si>
    <t>ДОНЕЦКАЯ НАРОДНАЯ РЕСПУБЛИКА, МАРИУПОЛЬ, Г. МАРИУПОЛЬ, Г. МАРИУПОЛЬ, УЛ. ЛЕВЧЕНКО, Д. 1</t>
  </si>
  <si>
    <t>ООО "ЗАВОД ПОЖЗАЩИТА"</t>
  </si>
  <si>
    <t>ОБЩЕСТВО С ОГРАНИЧЕННОЙ ОТВЕТСТВЕННОСТЬЮ "ЗАВОД ПОЖЗАЩИТА"</t>
  </si>
  <si>
    <t>9310001709</t>
  </si>
  <si>
    <t>1229300133556</t>
  </si>
  <si>
    <t>287501, ДОНЕЦКАЯ НАРОДНАЯ РЕСПУБЛИКА, МАРИУПОЛЬ, Г. МАРИУПОЛЬ, Г. МАРИУПОЛЬ, УЛ. ТОРГОВАЯ, Д. 9</t>
  </si>
  <si>
    <t>ООО "РИТЕЙЛ ЭССЕТС"</t>
  </si>
  <si>
    <t>ОБЩЕСТВО С ОГРАНИЧЕННОЙ ОТВЕТСТВЕННОСТЬЮ "РИТЕЙЛ ЭССЕТС"</t>
  </si>
  <si>
    <t>9310005407</t>
  </si>
  <si>
    <t>1229300141730</t>
  </si>
  <si>
    <t>ООО "БАРУХ"</t>
  </si>
  <si>
    <t>ОБЩЕСТВО С ОГРАНИЧЕННОЙ ОТВЕТСТВЕННОСТЬЮ "БАРУХ"</t>
  </si>
  <si>
    <t>9310000631</t>
  </si>
  <si>
    <t>1229300131928</t>
  </si>
  <si>
    <t>ООО "МАГАЗИН "1000 МЕЛОЧЕЙ"</t>
  </si>
  <si>
    <t>ОБЩЕСТВО С ОГРАНИЧЕННОЙ ОТВЕТСТВЕННОСТЬЮ "МАГАЗИН "1000 МЕЛОЧЕЙ"</t>
  </si>
  <si>
    <t>9310005559</t>
  </si>
  <si>
    <t>1229300142092</t>
  </si>
  <si>
    <t>287537, ДОНЕЦКАЯ НАРОДНАЯ РЕСПУБЛИКА, МАРИУПОЛЬ, Г. МАРИУПОЛЬ, Г. МАРИУПОЛЬ, ПР-КТ ЛЕНИНА, Д. 102</t>
  </si>
  <si>
    <t>ООО "МАГАЗИН "МАГИЯ"</t>
  </si>
  <si>
    <t>ОБЩЕСТВО С ОГРАНИЧЕННОЙ ОТВЕТСТВЕННОСТЬЮ "МАГАЗИН "МАГИЯ"</t>
  </si>
  <si>
    <t>9310003199</t>
  </si>
  <si>
    <t>1229300137637</t>
  </si>
  <si>
    <t>287524, ДОНЕЦКАЯ НАРОДНАЯ РЕСПУБЛИКА, МАРИУПОЛЬ, Г. МАРИУПОЛЬ, Г. МАРИУПОЛЬ, УЛ. ЛИТЕЙНАЯ, Д. 55</t>
  </si>
  <si>
    <t>ООО "МАГАЗИН "РИТМ"</t>
  </si>
  <si>
    <t>ОБЩЕСТВО С ОГРАНИЧЕННОЙ ОТВЕТСТВЕННОСТЬЮ "МАГАЗИН "РИТМ"</t>
  </si>
  <si>
    <t>9310003262</t>
  </si>
  <si>
    <t>1229300138055</t>
  </si>
  <si>
    <t>287521, ДОНЕЦКАЯ НАРОДНАЯ РЕСПУБЛИКА, МАРИУПОЛЬ, Г. МАРИУПОЛЬ, Г. МАРИУПОЛЬ, УЛ. ВОЗДУХОФЛОТСКАЯ, Д. 30</t>
  </si>
  <si>
    <t>ООО "МАГАЗИН "ФОРТУНА"</t>
  </si>
  <si>
    <t>ОБЩЕСТВО С ОГРАНИЧЕННОЙ ОТВЕТСТВЕННОСТЬЮ "МАГАЗИН "ФОРТУНА"</t>
  </si>
  <si>
    <t>9310002741</t>
  </si>
  <si>
    <t>1229300136713</t>
  </si>
  <si>
    <t>287513, ДОНЕЦКАЯ НАРОДНАЯ РЕСПУБЛИКА, МАРИУПОЛЬ, Г. МАРИУПОЛЬ, Г. МАРИУПОЛЬ, КВ-Л 26, Д. 7, КВ. 26</t>
  </si>
  <si>
    <t>ООО "МЕРКУРИЙ-С"</t>
  </si>
  <si>
    <t>ОБЩЕСТВО С ОГРАНИЧЕННОЙ ОТВЕТСТВЕННОСТЬЮ "МЕРКУРИЙ-С"</t>
  </si>
  <si>
    <t>9312001905</t>
  </si>
  <si>
    <t>1229300031333</t>
  </si>
  <si>
    <t>ДОНЕЦКАЯ НАРОДНАЯ РЕСПУБЛИКА, МАРИУПОЛЬ, Г. МАРИУПОЛЬ, Г. МАРИУПОЛЬ, УЛ. КОНСТИТУЦИИ, Д. 1, ПОМЕЩ. 1</t>
  </si>
  <si>
    <t>ООО "СТРОИТЕЛЬНОЕ ПРЕДПРИЯТИЕ ДОРСЕРВИС-СТРОЙ"</t>
  </si>
  <si>
    <t>ОБЩЕСТВО С ОГРАНИЧЕННОЙ ОТВЕТСТВЕННОСТЬЮ "СТРОИТЕЛЬНОЕ ПРЕДПРИЯТИЕ ДОРСЕРВИС-СТРОЙ"</t>
  </si>
  <si>
    <t>9310000328</t>
  </si>
  <si>
    <t>1229300130366</t>
  </si>
  <si>
    <t>287501, ДОНЕЦКАЯ НАРОДНАЯ РЕСПУБЛИКА, МАРИУПОЛЬ, Г. МАРИУПОЛЬ, Г. МАРИУПОЛЬ, УЛ. НИКОЛАЕВСКАЯ, Д. 59</t>
  </si>
  <si>
    <t>ООО "СВС-СЕРВИС"</t>
  </si>
  <si>
    <t>ОБЩЕСТВО С ОГРАНИЧЕННОЙ ОТВЕТСТВЕННОСТЬЮ "СВС-СЕРВИС"</t>
  </si>
  <si>
    <t>9310002501</t>
  </si>
  <si>
    <t>1229300136053</t>
  </si>
  <si>
    <t>287549, ДОНЕЦКАЯ НАРОДНАЯ РЕСПУБЛИКА, МАРИУПОЛЬ, Г. МАРИУПОЛЬ, Г. МАРИУПОЛЬ, УЛ. ГРЕЧЕСКАЯ, Д. 206А</t>
  </si>
  <si>
    <t>ООО "СВЯЗЬМОНТАЖ"</t>
  </si>
  <si>
    <t>ОБЩЕСТВО С ОГРАНИЧЕННОЙ ОТВЕТСТВЕННОСТЬЮ "СВЯЗЬМОНТАЖ"</t>
  </si>
  <si>
    <t>9310001530</t>
  </si>
  <si>
    <t>1229300133226</t>
  </si>
  <si>
    <t>287501, ДОНЕЦКАЯ НАРОДНАЯ РЕСПУБЛИКА, МАРИУПОЛЬ, Г. МАРИУПОЛЬ, Г. МАРИУПОЛЬ, ПР-КТ НАХИМОВА, Д. 206, ПОМЕЩ. 1</t>
  </si>
  <si>
    <t>ООО "СД МОТО ГРУП"</t>
  </si>
  <si>
    <t>ОБЩЕСТВО С ОГРАНИЧЕННОЙ ОТВЕТСТВЕННОСТЬЮ "СД МОТО ГРУП"</t>
  </si>
  <si>
    <t>9310000712</t>
  </si>
  <si>
    <t>1229300131940</t>
  </si>
  <si>
    <t>287549, ДОНЕЦКАЯ НАРОДНАЯ РЕСПУБЛИКА, МАРИУПОЛЬ, Г. МАРИУПОЛЬ, Г. МАРИУПОЛЬ, Б-Р ШЕВЧЕНКО, Д. 276, КВ. 65</t>
  </si>
  <si>
    <t>ООО "СК "ЮПИТЕР-АГРО"</t>
  </si>
  <si>
    <t>ОБЩЕСТВО С ОГРАНИЧЕННОЙ ОТВЕТСТВЕННОСТЬЮ "СЕЛЬСКОХОЗЯЙСТВЕННАЯ КОМПАНИЯ "ЮПИТЕР-АГРО"</t>
  </si>
  <si>
    <t>9310004724</t>
  </si>
  <si>
    <t>1229300140574</t>
  </si>
  <si>
    <t>287554, ДОНЕЦКАЯ НАРОДНАЯ РЕСПУБЛИКА, МАРИУПОЛЬ, Г. МАРИУПОЛЬ, Г. МАРИУПОЛЬ, УЛ. ТОПОЛИНАЯ, Д. 4, КВ. 2</t>
  </si>
  <si>
    <t>ООО "СК БУДКОН"</t>
  </si>
  <si>
    <t>ОБЩЕСТВО С ОГРАНИЧЕННОЙ ОТВЕТСТВЕННОСТЬЮ "СК БУДКОН"</t>
  </si>
  <si>
    <t>9310003801</t>
  </si>
  <si>
    <t>1229300138870</t>
  </si>
  <si>
    <t>287541, ДОНЕЦКАЯ НАРОДНАЯ РЕСПУБЛИКА, МАРИУПОЛЬ, Г. МАРИУПОЛЬ, Г. МАРИУПОЛЬ, УЛ. ПАШКОВСКОГО, Д. 4</t>
  </si>
  <si>
    <t>МЕСТНАЯ РЕЛИГИОЗНАЯ ОРГАНИЗАЦИЯ ПРАВОСЛАВНЫЙ ПРИХОД СВЯТО-НИКОЛАЕВСКОГО КАФЕДРАЛЬНОГО СОБОРА ГОРОДА МАРИУПОЛЯ ДОНЕЦКОЙ ЕПАРХИИ РУССКОЙ ПРАВОСЛАВНОЙ ЦЕРКВИ (МОСКОВСКИЙ ПАТРИАРХАТ)</t>
  </si>
  <si>
    <t>9310003664</t>
  </si>
  <si>
    <t>1229300138737</t>
  </si>
  <si>
    <t>287549, ДОНЕЦКАЯ НАРОДНАЯ РЕСПУБЛИКА, МАРИУПОЛЬ, Г. МАРИУПОЛЬ, Г. МАРИУПОЛЬ, УЛ. КАЛЬМИУССКАЯ, Д. 114</t>
  </si>
  <si>
    <t>ООО "ТМС 2022"</t>
  </si>
  <si>
    <t>ОБЩЕСТВО С ОГРАНИЧЕННОЙ ОТВЕТСТВЕННОСТЬЮ"ТЕХМАШСТРОЙ 2022"</t>
  </si>
  <si>
    <t>9310004107</t>
  </si>
  <si>
    <t>1229300139353</t>
  </si>
  <si>
    <t>ООО "ТОПЛЭНД"</t>
  </si>
  <si>
    <t>ОБЩЕСТВО С ОГРАНИЧЕННОЙ ОТВЕТСТВЕННОСТЬЮ "ТОПЛЭНД"</t>
  </si>
  <si>
    <t>9310005358</t>
  </si>
  <si>
    <t>1229300141729</t>
  </si>
  <si>
    <t>ООО "ВИДИ ВЕКТОР"</t>
  </si>
  <si>
    <t>ОБЩЕСТВО С ОГРАНИЧЕННОЙ ОТВЕТСТВЕННОСТЬЮ "ВИДИ ВЕКТОР"</t>
  </si>
  <si>
    <t>9310003706</t>
  </si>
  <si>
    <t>1229300138693</t>
  </si>
  <si>
    <t>ООО "ВИДИАН"</t>
  </si>
  <si>
    <t>ОБЩЕСТВО С ОГРАНИЧЕННОЙ ОТВЕТСТВЕННОСТЬЮ "ВИДИАН"</t>
  </si>
  <si>
    <t>9310002942</t>
  </si>
  <si>
    <t>1229300137285</t>
  </si>
  <si>
    <t>287557, ДОНЕЦКАЯ НАРОДНАЯ РЕСПУБЛИКА, МАРИУПОЛЬ, Г. МАРИУПОЛЬ, Г. МАРИУПОЛЬ, УЛ. ОЛИМПИЙСКАЯ, Д. 165, КВ. 85</t>
  </si>
  <si>
    <t>ООО "ГРАЦИЯ МАРКЕТ"</t>
  </si>
  <si>
    <t>ОБЩЕСТВО С ОГРАНИЧЕННОЙ ОТВЕТСТВЕННОСТЬЮ "ГРАЦИЯ МАРКЕТ"</t>
  </si>
  <si>
    <t>9310002043</t>
  </si>
  <si>
    <t>1229300135052</t>
  </si>
  <si>
    <t>ООО "АЗИЯ"</t>
  </si>
  <si>
    <t>ОБЩЕСТВО С ОГРАНИЧЕННОЙ ОТВЕТСТВЕННОСТЬЮ "АЗИЯ"</t>
  </si>
  <si>
    <t>9310005245</t>
  </si>
  <si>
    <t>1229300141432</t>
  </si>
  <si>
    <t>287524, ДОНЕЦКАЯ НАРОДНАЯ РЕСПУБЛИКА, МАРИУПОЛЬ, Г. МАРИУПОЛЬ, Г. МАРИУПОЛЬ, ПР-КТ МЕТАЛЛУРГОВ, Д. 198</t>
  </si>
  <si>
    <t>ООО "АЗОВГЕОЛОГИЯ"</t>
  </si>
  <si>
    <t>ОБЩЕСТВО С ОГРАНИЧЕННОЙ ОТВЕТСТВЕННОСТЬЮ "АЗОВГЕОЛОГИЯ"</t>
  </si>
  <si>
    <t>9310001272</t>
  </si>
  <si>
    <t>1229300132753</t>
  </si>
  <si>
    <t>287549, ДОНЕЦКАЯ НАРОДНАЯ РЕСПУБЛИКА, МАРИУПОЛЬ, Г. МАРИУПОЛЬ, Г. МАРИУПОЛЬ, ПР-КТ МЕТАЛЛУРГОВ, Д. 99, КОМ. 1</t>
  </si>
  <si>
    <t>ООО "ЭЛЕКТРО МОНТАЖ СЕРВИС"</t>
  </si>
  <si>
    <t>ОБЩЕСТВО С ОГРАНИЧЕННОЙ ОТВЕТСТВЕННОСТЬЮ "ЭЛЕКТРО МОНТАЖ СЕРВИС"</t>
  </si>
  <si>
    <t>9310005848</t>
  </si>
  <si>
    <t>1229300142576</t>
  </si>
  <si>
    <t>287501, ДОНЕЦКАЯ НАРОДНАЯ РЕСПУБЛИКА, МАРИУПОЛЬ, Г. МАРИУПОЛЬ, Г. МАРИУПОЛЬ, УЛ. НИКОЛАЕВСКАЯ, Д. 48</t>
  </si>
  <si>
    <t>ООО "ПУТЬ ИН СТРОЙ"</t>
  </si>
  <si>
    <t>ОБЩЕСТВО С ОГРАНИЧЕННОЙ ОТВЕТСТВЕННОСТЬЮ "ПУТЬ ИН СТРОЙ"</t>
  </si>
  <si>
    <t>9310005397</t>
  </si>
  <si>
    <t>1229300141817</t>
  </si>
  <si>
    <t>287549, ДОНЕЦКАЯ НАРОДНАЯ РЕСПУБЛИКА, МАРИУПОЛЬ, Г. МАРИУПОЛЬ, Г. МАРИУПОЛЬ, УЛ. ВЕРХНИЙ БЛОК, Д. 114, КВ. 1</t>
  </si>
  <si>
    <t>ООО "ФИРМА РИА"</t>
  </si>
  <si>
    <t>ОБЩЕСТВО С ОГРАНИЧЕННОЙ ОТВЕТСТВЕННОСТЬЮ "ФИРМА РИА"</t>
  </si>
  <si>
    <t>9310000864</t>
  </si>
  <si>
    <t>1229300132148</t>
  </si>
  <si>
    <t>287537, ДОНЕЦКАЯ НАРОДНАЯ РЕСПУБЛИКА, МАРИУПОЛЬ, Г. МАРИУПОЛЬ, Г. МАРИУПОЛЬ, УЛ. ОСИПЕНКО, Д. 2</t>
  </si>
  <si>
    <t>ООО "РОЯЛТИ ГРАНТ"</t>
  </si>
  <si>
    <t>ОБЩЕСТВО С ОГРАНИЧЕННОЙ ОТВЕТСТВЕННОСТЬЮ "РОЯЛТИ ГРАНТ"</t>
  </si>
  <si>
    <t>9310005189</t>
  </si>
  <si>
    <t>1229300141531</t>
  </si>
  <si>
    <t>287554, ДОНЕЦКАЯ НАРОДНАЯ РЕСПУБЛИКА, МАРИУПОЛЬ, Г. МАРИУПОЛЬ, Г. МАРИУПОЛЬ, ПР-КТ СТРОИТЕЛЕЙ, Д. 156, КВ. 37</t>
  </si>
  <si>
    <t>ООО "ТАЛАКОВСКАЯ СКАРБНИЦА"</t>
  </si>
  <si>
    <t>ОБЩЕСТВО С ОГРАНИЧЕННОЙ ОТВЕТСТВЕННОСТЬЮ "ТАЛАКОВСКАЯ СКАРБНИЦА"</t>
  </si>
  <si>
    <t>9310004410</t>
  </si>
  <si>
    <t>1229300140079</t>
  </si>
  <si>
    <t>ООО "ТАЛАКОВСКИЕ КОЛБАСЫ"</t>
  </si>
  <si>
    <t>ОБЩЕСТВО С ОГРАНИЧЕННОЙ ОТВЕТСТВЕННОСТЬЮ "ТАЛАКОВСКИЕ КОЛБАСЫ"</t>
  </si>
  <si>
    <t>9310004322</t>
  </si>
  <si>
    <t>1229300139771</t>
  </si>
  <si>
    <t>ООО "ТСЦ МАКСИМУМ"</t>
  </si>
  <si>
    <t>ОБЩЕСТВО С ОГРАНИЧЕННОЙ ОТВЕТСТВЕННОСТЬЮ "ТСЦ МАКСИМУМ"</t>
  </si>
  <si>
    <t>9310002149</t>
  </si>
  <si>
    <t>1229300135140</t>
  </si>
  <si>
    <t>287549, ДОНЕЦКАЯ НАРОДНАЯ РЕСПУБЛИКА, МАРИУПОЛЬ, Г. МАРИУПОЛЬ, Г. МАРИУПОЛЬ, ПР-КТ МЕТАЛЛУРГОВ, Д. 96, ПОМЕЩ. 145</t>
  </si>
  <si>
    <t>ООО "НЕЙТРОН"</t>
  </si>
  <si>
    <t>ОБЩЕСТВО С ОГРАНИЧЕННОЙ ОТВЕТСТВЕННОСТЬЮ "НЕЙТРОН"</t>
  </si>
  <si>
    <t>9310003752</t>
  </si>
  <si>
    <t>1229300138825</t>
  </si>
  <si>
    <t>287549, ДОНЕЦКАЯ НАРОДНАЯ РЕСПУБЛИКА, МАРИУПОЛЬ, Г. МАРИУПОЛЬ, Г. МАРИУПОЛЬ, ПР-КТ МЕТАЛЛУРГОВ, Д. 100</t>
  </si>
  <si>
    <t>ООО "НЕО-ТАЙМ"</t>
  </si>
  <si>
    <t>ОБЩЕСТВО С ОГРАНИЧЕННОЙ ОТВЕТСТВЕННОСТЬЮ "НЕО-ТАЙМ"</t>
  </si>
  <si>
    <t>9310005125</t>
  </si>
  <si>
    <t>1229300141025</t>
  </si>
  <si>
    <t>АТСН "АВТОЛЮБИТЕЛЬ-1"</t>
  </si>
  <si>
    <t>АВТОГАРАЖНОЕ ТОВАРИЩЕСТВО СОБСТВЕННИКОВ НЕДВИЖИМОСТИ "АВТОЛЮБИТЕЛЬ-1"</t>
  </si>
  <si>
    <t>9310004570</t>
  </si>
  <si>
    <t>1229300140211</t>
  </si>
  <si>
    <t>ДОНЕЦКАЯ НАРОДНАЯ РЕСПУБЛИКА, МАРИУПОЛЬ, Г. МАРИУПОЛЬ, Г. МАРИУПОЛЬ, Ш. ВОЛОДАРСКОЕ, Д. 3/1</t>
  </si>
  <si>
    <t>АДМИНИСТРАЦИЯ ГОРОДА МАРИУПОЛЯ</t>
  </si>
  <si>
    <t>9310000198</t>
  </si>
  <si>
    <t>1229300128078</t>
  </si>
  <si>
    <t>АДМИНИСТРАЦИЯ ЖОВТНЕВОГО РАЙОНА Г. МАРИУПОЛЯ</t>
  </si>
  <si>
    <t>АДМИНИСТРАЦИЯ ЖОВТНЕВОГО РАЙОНА ГОРОДА МАРИУПОЛЯ</t>
  </si>
  <si>
    <t>9310000279</t>
  </si>
  <si>
    <t>1229300130124</t>
  </si>
  <si>
    <t>АДМИНИСТРАЦИЯ ИЛЬИЧЁВСКОГО РАЙОНА Г. МАРИУПОЛЯ</t>
  </si>
  <si>
    <t>АДМИНИСТРАЦИЯ ИЛЬИЧЁВСКОГО РАЙОНА ГОРОДА МАРИУПОЛЯ</t>
  </si>
  <si>
    <t>9310000350</t>
  </si>
  <si>
    <t>1229300130620</t>
  </si>
  <si>
    <t>ООО "ЦЕНТР ЗДОРОВЬЯ "ЮВЕНТА"</t>
  </si>
  <si>
    <t>ОБЩЕСТВО С ОГРАНИЧЕННОЙ ОТВЕТСТВЕННОСТЬЮ "ЦЕНТР ЗДОРОВЬЯ "ЮВЕНТА"</t>
  </si>
  <si>
    <t>9310005661</t>
  </si>
  <si>
    <t>1229300142356</t>
  </si>
  <si>
    <t>СНТ "ДРУЖБА"</t>
  </si>
  <si>
    <t>САДОВОДЧЕСКОЕ НЕКОММЕРЧЕСКОЕ ТОВАРИЩЕСТВО "ДРУЖБА"</t>
  </si>
  <si>
    <t>9310003745</t>
  </si>
  <si>
    <t>1229300138748</t>
  </si>
  <si>
    <t>287524, ДОНЕЦКАЯ НАРОДНАЯ РЕСПУБЛИКА, МАРИУПОЛЬ, Г. МАРИУПОЛЬ, Г. МАРИУПОЛЬ, УЛ. ГОНДЫ, Д. 76</t>
  </si>
  <si>
    <t>СНТ "ЖИЛСТРОЕВЕЦ"</t>
  </si>
  <si>
    <t>САДОВОДЧЕСКОЕ НЕКОММЕРЧЕСКОЕ ТОВАРИЩЕСТВО "ЖИЛСТРОЕВЕЦ"</t>
  </si>
  <si>
    <t>9310005326</t>
  </si>
  <si>
    <t>1229300141773</t>
  </si>
  <si>
    <t>ДОНЕЦКАЯ НАРОДНАЯ РЕСПУБЛИКА, МАРИУПОЛЬ, Г. МАРИУПОЛЬ, Г. МАРИУПОЛЬ, УЛ. ПРОГРЕССИВНАЯ, Д. 1</t>
  </si>
  <si>
    <t>СНТ "ЗЕЛЁНЫЙ ОГОНЁК"</t>
  </si>
  <si>
    <t>САДОВОДЧЕСКОЕ НЕКОММЕРЧЕСКОЕ ТОВАРИЩЕСТВО "ЗЕЛЁНЫЙ ОГОНЁК"</t>
  </si>
  <si>
    <t>9310002999</t>
  </si>
  <si>
    <t>1229300137351</t>
  </si>
  <si>
    <t>287512, ДОНЕЦКАЯ НАРОДНАЯ РЕСПУБЛИКА, МАРИУПОЛЬ, Г. МАРИУПОЛЬ, Г. МАРИУПОЛЬ, Ш. СТАРОКРЫМСКОЕ, Д. 54</t>
  </si>
  <si>
    <t>СНТ "КАЛИНА"</t>
  </si>
  <si>
    <t>САДОВОДЧЕСКОЕ НЕКОММЕРЧЕСКОЕ ТОВАРИЩЕСТВО "КАЛИНА"</t>
  </si>
  <si>
    <t>9310005911</t>
  </si>
  <si>
    <t>1229300142785</t>
  </si>
  <si>
    <t>287526, ДОНЕЦКАЯ НАРОДНАЯ РЕСПУБЛИКА, МАРИУПОЛЬ, Г. МАРИУПОЛЬ, Г. МАРИУПОЛЬ, УЛ. ЯКОВА ГУГЕЛЯ, Д. 3</t>
  </si>
  <si>
    <t>СНТ "ЛОТОС"</t>
  </si>
  <si>
    <t>САДОВОДЧЕСКОЕ НЕКОММЕРЧЕСКОЕ ТОВАРИЩЕСТВО "ЛОТОС"</t>
  </si>
  <si>
    <t>9310003463</t>
  </si>
  <si>
    <t>1229300138407</t>
  </si>
  <si>
    <t>ДОНЕЦКАЯ НАРОДНАЯ РЕСПУБЛИКА, МАРИУПОЛЬ, Г. МАРИУПОЛЬ, Г. МАРИУПОЛЬ, ПЛ. ЛЕПСЕ, Д. 41, КВ. 23</t>
  </si>
  <si>
    <t>СНТ "МОНТАЖНИК"</t>
  </si>
  <si>
    <t>САДОВОДЧЕСКОЕ НЕКОММЕРЧЕСКОЕ ТОВАРИЩЕСТВО "МОНТАЖНИК"</t>
  </si>
  <si>
    <t>9310004428</t>
  </si>
  <si>
    <t>1229300139936</t>
  </si>
  <si>
    <t>287549, ДОНЕЦКАЯ НАРОДНАЯ РЕСПУБЛИКА, МАРИУПОЛЬ, Г. МАРИУПОЛЬ, Г. МАРИУПОЛЬ, ПР-КТ МЕТАЛЛУРГОВ, Д. 129, КВ. 116</t>
  </si>
  <si>
    <t>СНТ "НАЛАДЧИК"</t>
  </si>
  <si>
    <t>САДОВОДЧЕСКОЕ НЕКОММЕРЧЕСКОЕ ТОВАРИЩЕСТВО "НАЛАДЧИК"</t>
  </si>
  <si>
    <t>9310000991</t>
  </si>
  <si>
    <t>1229300132302</t>
  </si>
  <si>
    <t>ДОНЕЦКАЯ НАРОДНАЯ РЕСПУБЛИКА, МАРИУПОЛЬ, Г. МАРИУПОЛЬ, Г. МАРИУПОЛЬ, ПЕР. ВОЛОЧАЕВСКИЙ, Д. 13А</t>
  </si>
  <si>
    <t>СНТ "ОГОНЕК"</t>
  </si>
  <si>
    <t>САДОВОДЧЕСКОЕ НЕКОММЕРЧЕСКОЕ ТОВАРИЩЕСТВО "ОГОНЕК"</t>
  </si>
  <si>
    <t>9310004940</t>
  </si>
  <si>
    <t>1229300141180</t>
  </si>
  <si>
    <t>287512, ДОНЕЦКАЯ НАРОДНАЯ РЕСПУБЛИКА, МАРИУПОЛЬ, Г. МАРИУПОЛЬ, Г. МАРИУПОЛЬ, УЛ. 50 ЛЕТ СССР, Д. 16, КВ. 48</t>
  </si>
  <si>
    <t>ООО "ПАМПАД"</t>
  </si>
  <si>
    <t>ОБЩЕСТВО С ОГРАНИЧЕННОЙ ОТВЕТСТВЕННОСТЬЮ "ПАМПАД"</t>
  </si>
  <si>
    <t>9310000511</t>
  </si>
  <si>
    <t>1229300131125</t>
  </si>
  <si>
    <t>287557, ДОНЕЦКАЯ НАРОДНАЯ РЕСПУБЛИКА, МАРИУПОЛЬ, Г. МАРИУПОЛЬ, Г. МАРИУПОЛЬ, УЛ. ОЛИМПИЙСКАЯ, Д. 185, КВ. 77</t>
  </si>
  <si>
    <t>ООО "ПАНАЦЕЯ"</t>
  </si>
  <si>
    <t>ОБЩЕСТВО С ОГРАНИЧЕННОЙ ОТВЕТСТВЕННОСТЬЮ "ПАНАЦЕЯ"</t>
  </si>
  <si>
    <t>9310004604</t>
  </si>
  <si>
    <t>1229300140200</t>
  </si>
  <si>
    <t>287510, ДОНЕЦКАЯ НАРОДНАЯ РЕСПУБЛИКА, МАРИУПОЛЬ, Г. МАРИУПОЛЬ, Г. МАРИУПОЛЬ, ПР-КТ НАХИМОВА, Д. 82</t>
  </si>
  <si>
    <t>ООО "ПАНТЕЯ"</t>
  </si>
  <si>
    <t>ОБЩЕСТВО С ОГРАНИЧЕННОЙ ОТВЕТСТВЕННОСТЬЮ "ПАНТЕЯ"</t>
  </si>
  <si>
    <t>9310005870</t>
  </si>
  <si>
    <t>1229300142730</t>
  </si>
  <si>
    <t>287510, ДОНЕЦКАЯ НАРОДНАЯ РЕСПУБЛИКА, МАРИУПОЛЬ, Г. МАРИУПОЛЬ, Г. МАРИУПОЛЬ, УЛ. КРАСНОФЛОТСКАЯ, Д. 178</t>
  </si>
  <si>
    <t>ООО "ПАРИКМАХЕРСКАЯ "МИМОЗА"</t>
  </si>
  <si>
    <t>ОБЩЕСТВО С ОГРАНИЧЕННОЙ ОТВЕТСТВЕННОСТЬЮ "ПАРИКМАХЕРСКАЯ "МИМОЗА"</t>
  </si>
  <si>
    <t>9310002237</t>
  </si>
  <si>
    <t>1229300135426</t>
  </si>
  <si>
    <t>ООО "ДЕНИС В"</t>
  </si>
  <si>
    <t>ОБЩЕСТВО С ОГРАНИЧЕННОЙ ОТВЕТСТВЕННОСТЬЮ "ДЕНИС В"</t>
  </si>
  <si>
    <t>9310004682</t>
  </si>
  <si>
    <t>1229300140376</t>
  </si>
  <si>
    <t>287557, ДОНЕЦКАЯ НАРОДНАЯ РЕСПУБЛИКА, МАРИУПОЛЬ, Г. МАРИУПОЛЬ, Г. МАРИУПОЛЬ, УЛ. ОЛИМПИЙСКАЯ, Д. 157/1</t>
  </si>
  <si>
    <t>ООО "ДЕСМА"</t>
  </si>
  <si>
    <t>ОБЩЕСТВО С ОГРАНИЧЕННОЙ ОТВЕТСТВЕННОСТЬЮ "ДЕСМА"</t>
  </si>
  <si>
    <t>9310000751</t>
  </si>
  <si>
    <t>1229300131884</t>
  </si>
  <si>
    <t>287554, ДОНЕЦКАЯ НАРОДНАЯ РЕСПУБЛИКА, МАРИУПОЛЬ, Г. МАРИУПОЛЬ, Г. МАРИУПОЛЬ, УЛ. УРИЦКОГО, Д. 83</t>
  </si>
  <si>
    <t>ТОВ "АЗОВТРАНСМЕТ"</t>
  </si>
  <si>
    <t>ОБЩЕСТВО С ОГРАНИЧЕННОЙ ОТВЕТСТВЕННОСТЬЮ "АЗОВТРАНСМЕТ"</t>
  </si>
  <si>
    <t>9310005157</t>
  </si>
  <si>
    <t>1229300141564</t>
  </si>
  <si>
    <t>287510, ДОНЕЦКАЯ НАРОДНАЯ РЕСПУБЛИКА, МАРИУПОЛЬ, Г. МАРИУПОЛЬ, Г. МАРИУПОЛЬ, ПЕР. БЕРДЯНСКИЙ, Д. 7</t>
  </si>
  <si>
    <t>ОТДЕЛЕНИЕ ФОНДА НСП ДНР В Г. МАРИУПОЛЕ</t>
  </si>
  <si>
    <t>ГОСУДАРСТВЕННОЕ БЮДЖЕТНОЕ УЧРЕЖДЕНИЕ "ОТДЕЛЕНИЕ ФОНДА СОЦИАЛЬНОГО СТРАХОВАНИЯ ОТ НЕСЧАСТНЫХ СЛУЧАЕВ НА ПРОИЗВОДСТВЕ И ПРОФЕССИОНАЛЬНЫХ ЗАБОЛЕВАНИЙ ДОНЕЦКОЙ НАРОДНОЙ РЕСПУБЛИКИ В Г. МАРИУПОЛЕ"</t>
  </si>
  <si>
    <t>9310002974</t>
  </si>
  <si>
    <t>1229300137110</t>
  </si>
  <si>
    <t>287526, ДОНЕЦКАЯ НАРОДНАЯ РЕСПУБЛИКА, МАРИУПОЛЬ, Г. МАРИУПОЛЬ, Г. МАРИУПОЛЬ, Б-Р КОМСОМОЛЬСКИЙ, Д. 74</t>
  </si>
  <si>
    <t>ООО "ИРАКЛИС"</t>
  </si>
  <si>
    <t>ОБЩЕСТВО С ОГРАНИЧЕННОЙ ОТВЕТСТВЕННОСТЬЮ "ИРАКЛИС"</t>
  </si>
  <si>
    <t>9310006070</t>
  </si>
  <si>
    <t>1229300171847</t>
  </si>
  <si>
    <t>ДОНЕЦКАЯ НАРОДНАЯ РЕСПУБЛИКА, МАРИУПОЛЬ, Г. МАРИУПОЛЬ, Г. МАРИУПОЛЬ, УЛ. ГРЕЧЕСКАЯ, Д. 191, КВ. 15</t>
  </si>
  <si>
    <t>ООО "ВДР-АГРО"</t>
  </si>
  <si>
    <t>ОБЩЕСТВО С ОГРАНИЧЕННОЙ ОТВЕТСТВЕННОСТЬЮ "ВДР-АГРО"</t>
  </si>
  <si>
    <t>9310003907</t>
  </si>
  <si>
    <t>1229300138990</t>
  </si>
  <si>
    <t>287510, ДОНЕЦКАЯ НАРОДНАЯ РЕСПУБЛИКА, МАРИУПОЛЬ, Г. МАРИУПОЛЬ, Г. МАРИУПОЛЬ, УЛ. МИРА, Д. 2Б</t>
  </si>
  <si>
    <t>ООО "ТД ШУ "ПОПАСНЫЕ ЛЕСКИ"</t>
  </si>
  <si>
    <t>ОБЩЕСТВО С ОГРАНИЧЕННОЙ ОТВЕТСТВЕННОСТЬЮ "ТОРГОВЫЙ ДОМ ШАХТОУПРАВЛЕНИЕ "ПОПАСНЫЕ ЛЕСКИ"</t>
  </si>
  <si>
    <t>9310000906</t>
  </si>
  <si>
    <t>1229300132082</t>
  </si>
  <si>
    <t>287510, ДОНЕЦКАЯ НАРОДНАЯ РЕСПУБЛИКА, МАРИУПОЛЬ, Г. МАРИУПОЛЬ, Г. МАРИУПОЛЬ, УЛ. ПИОНЕРА БАЛАБУХИ, Д. 50А</t>
  </si>
  <si>
    <t>ООО "БРАШ"</t>
  </si>
  <si>
    <t>ОБЩЕСТВО С ОГРАНИЧЕННОЙ ОТВЕТСТВЕННОСТЬЮ "БРАШ"</t>
  </si>
  <si>
    <t>9310003720</t>
  </si>
  <si>
    <t>1229300138682</t>
  </si>
  <si>
    <t>9310002981</t>
  </si>
  <si>
    <t>1229300137330</t>
  </si>
  <si>
    <t>287557, ДОНЕЦКАЯ НАРОДНАЯ РЕСПУБЛИКА, МАРИУПОЛЬ, Г. МАРИУПОЛЬ, Г. МАРИУПОЛЬ, УЛ. ЛЕСИ УКРАИНКИ, Д. 32</t>
  </si>
  <si>
    <t>ЧП "ЮГО-ВОСТОЧНАЯ ТОРГОВАЯ КОМПАНИЯ"</t>
  </si>
  <si>
    <t>ЧАСТНОЕ ПРЕДПРИЯТИЕ "ЮГО-ВОСТОЧНАЯ ТОРГОВАЯ КОМПАНИЯ"</t>
  </si>
  <si>
    <t>9310001226</t>
  </si>
  <si>
    <t>1229300132610</t>
  </si>
  <si>
    <t>287642, ДОНЕЦКАЯ НАРОДНАЯ РЕСПУБЛИКА, МАРИУПОЛЬ, Г. МАРИУПОЛЬ, Г. МАРИУПОЛЬ, ПР-КТ ЛЕНИНА, Д. 100, КВ. 38</t>
  </si>
  <si>
    <t>ООО "ЮКА ФУД ГРУП"</t>
  </si>
  <si>
    <t>ОБЩЕСТВО С ОГРАНИЧЕННОЙ ОТВЕТСТВЕННОСТЬЮ "ЮКА ФУД ГРУП"</t>
  </si>
  <si>
    <t>9310002357</t>
  </si>
  <si>
    <t>1229300135701</t>
  </si>
  <si>
    <t>ООО "ЮКА ФУД"</t>
  </si>
  <si>
    <t>ОБЩЕСТВО С ОГРАНИЧЕННОЙ ОТВЕТСТВЕННОСТЬЮ "ЮКА ФУД"</t>
  </si>
  <si>
    <t>9310006111</t>
  </si>
  <si>
    <t>1229300173761</t>
  </si>
  <si>
    <t>ООО "ПОНИМАР"</t>
  </si>
  <si>
    <t>ОБЩЕСТВО С ОГРАНИЧЕННОЙ ОТВЕТСТВЕННОСТЬЮ "ПОНИМАР"</t>
  </si>
  <si>
    <t>9310004259</t>
  </si>
  <si>
    <t>1229300139705</t>
  </si>
  <si>
    <t>287541, ДОНЕЦКАЯ НАРОДНАЯ РЕСПУБЛИКА, МАРИУПОЛЬ, Г. МАРИУПОЛЬ, Г. МАРИУПОЛЬ, УЛ. ПАШКОВСКОГО, Д. 31, КВ. 10</t>
  </si>
  <si>
    <t>ООО "ПСФ "ТИТАН"</t>
  </si>
  <si>
    <t>ОБЩЕСТВО С ОГРАНИЧЕННОЙ ОТВЕТСТВЕННОСТЬЮ "ПРОИЗВОДСТВЕННО-СТРОИТЕЛЬНАЯ ФИРМА "ТИТАН"</t>
  </si>
  <si>
    <t>9310000825</t>
  </si>
  <si>
    <t>1229300132280</t>
  </si>
  <si>
    <t>287537, ДОНЕЦКАЯ НАРОДНАЯ РЕСПУБЛИКА, МАРИУПОЛЬ, Г. МАРИУПОЛЬ, Г. МАРИУПОЛЬ, УЛ. ЗЕЛИНСКОГО, Д. 100А</t>
  </si>
  <si>
    <t>ООО"РЕАЛ"</t>
  </si>
  <si>
    <t>ОБЩЕСТВО С ОГРАНИЧЕННОЙ ОТВЕТСТВЕННОСТЬЮ "РЕАЛ"</t>
  </si>
  <si>
    <t>9310001508</t>
  </si>
  <si>
    <t>1229300132930</t>
  </si>
  <si>
    <t>ООО "РЕМТАРА"</t>
  </si>
  <si>
    <t>ОБЩЕСТВО С ОГРАНИЧЕННОЙ ОТВЕТСТВЕННОСТЬЮ "РЕМТАРА"</t>
  </si>
  <si>
    <t>9310000078</t>
  </si>
  <si>
    <t>1229300004537</t>
  </si>
  <si>
    <t>ООО "СЕЗАМ"</t>
  </si>
  <si>
    <t>ОБЩЕСТВО С ОГРАНИЧЕННОЙ ОТВЕТСТВЕННОСТЬЮ "СЕЗАМ"</t>
  </si>
  <si>
    <t>9310005703</t>
  </si>
  <si>
    <t>1229300142466</t>
  </si>
  <si>
    <t>ДОНЕЦКАЯ НАРОДНАЯ РЕСПУБЛИКА, МАРИУПОЛЬ, Г. МАРИУПОЛЬ, Г. МАРИУПОЛЬ, УЛ. КАМЕНСКАЯ, Д. 49А</t>
  </si>
  <si>
    <t>ООО "ГОРИЗОНТАЛЬ"</t>
  </si>
  <si>
    <t>ОБЩЕСТВО С ОГРАНИЧЕННОЙ ОТВЕТСТВЕННОСТЬЮ "ГОРИЗОНТАЛЬ"</t>
  </si>
  <si>
    <t>9310002621</t>
  </si>
  <si>
    <t>1229300136361</t>
  </si>
  <si>
    <t>287512, ДОНЕЦКАЯ НАРОДНАЯ РЕСПУБЛИКА, МАРИУПОЛЬ, Г. МАРИУПОЛЬ, Г. МАРИУПОЛЬ, УЛ. ГРАНИТНАЯ, Д. 142А</t>
  </si>
  <si>
    <t>ООО "ГРАНДИНДЕКС"</t>
  </si>
  <si>
    <t>ОБЩЕСТВО С ОГРАНИЧЕННОЙ ОТВЕТСТВЕННОСТЬЮ "ГРАНДИНДЕКС"</t>
  </si>
  <si>
    <t>9310001949</t>
  </si>
  <si>
    <t>1229300134744</t>
  </si>
  <si>
    <t>287513, ДОНЕЦКАЯ НАРОДНАЯ РЕСПУБЛИКА, МАРИУПОЛЬ, Г. МАРИУПОЛЬ, Г. МАРИУПОЛЬ, УЛ. КАРПИНСКОГО, Д. 69А</t>
  </si>
  <si>
    <t>ООО "ГУЛИВЕР-ТРЕЙДИНГ"</t>
  </si>
  <si>
    <t>ОБЩЕСТВО С ОГРАНИЧЕННОЙ ОТВЕТСТВЕННОСТЬЮ "ГУЛИВЕР-ТРЕЙДИНГ"</t>
  </si>
  <si>
    <t>9310002597</t>
  </si>
  <si>
    <t>1229300136394</t>
  </si>
  <si>
    <t>287537, ДОНЕЦКАЯ НАРОДНАЯ РЕСПУБЛИКА, МАРИУПОЛЬ, Г. МАРИУПОЛЬ, Г. МАРИУПОЛЬ, УЛ. КАРЛА ЛИБКНЕХТА, Д. 90А</t>
  </si>
  <si>
    <t>ООО "ДАНВИС"</t>
  </si>
  <si>
    <t>ОБЩЕСТВО С ОГРАНИЧЕННОЙ ОТВЕТСТВЕННОСТЬЮ "ДАНВИС"</t>
  </si>
  <si>
    <t>9310003880</t>
  </si>
  <si>
    <t>1229300139012</t>
  </si>
  <si>
    <t>ЧП "ДЕНТА ЛЮКС"</t>
  </si>
  <si>
    <t>ЧАСТНОЕ ПРЕДПРИЯТИЕ "ДЕНТА ЛЮКС"</t>
  </si>
  <si>
    <t>9310003632</t>
  </si>
  <si>
    <t>1229300138671</t>
  </si>
  <si>
    <t>287549, ДОНЕЦКАЯ НАРОДНАЯ РЕСПУБЛИКА, МАРИУПОЛЬ, Г. МАРИУПОЛЬ, Г. МАРИУПОЛЬ, Б-Р ШЕВЧЕНКО, Д. 64, КВ. 8</t>
  </si>
  <si>
    <t>ООО "ДИЛЕРАЗОВ"</t>
  </si>
  <si>
    <t>ОБЩЕСТВО С ОГРАНИЧЕННОЙ ОТВЕТСТВЕННОСТЬЮ "ДИЛЕРАЗОВ"</t>
  </si>
  <si>
    <t>9310002300</t>
  </si>
  <si>
    <t>1229300135767</t>
  </si>
  <si>
    <t>287549, ДОНЕЦКАЯ НАРОДНАЯ РЕСПУБЛИКА, МАРИУПОЛЬ, Г. МАРИУПОЛЬ, Г. МАРИУПОЛЬ, ПР-КТ МЕТАЛЛУРГОВ, Д. 133, КВ. 19</t>
  </si>
  <si>
    <t>СНТ "ОДУВАНЧИК"</t>
  </si>
  <si>
    <t>САДОВОДЧЕСКОЕ НЕКОММЕРЧЕСКОЕ ТОВАРИЩЕСТВО "ОДУВАНЧИК"</t>
  </si>
  <si>
    <t>9310002156</t>
  </si>
  <si>
    <t>1229300135294</t>
  </si>
  <si>
    <t>287526, ДОНЕЦКАЯ НАРОДНАЯ РЕСПУБЛИКА, МАРИУПОЛЬ, Г. МАРИУПОЛЬ, Г. МАРИУПОЛЬ, ПР-КТ ПОБЕДЫ, Д. 133, КВ. 38</t>
  </si>
  <si>
    <t>ООО "ДОНМИГ"</t>
  </si>
  <si>
    <t>ОБЩЕСТВО С ОГРАНИЧЕННОЙ ОТВЕТСТВЕННОСТЬЮ "ДОНМИГ"</t>
  </si>
  <si>
    <t>9310001882</t>
  </si>
  <si>
    <t>1229300134524</t>
  </si>
  <si>
    <t>287501, ДОНЕЦКАЯ НАРОДНАЯ РЕСПУБЛИКА, МАРИУПОЛЬ, Г. МАРИУПОЛЬ, Г. МАРИУПОЛЬ, ПР-КТ МЕТАЛЛУРГОВ, Д. 62/90, ПОМЕЩ. 1</t>
  </si>
  <si>
    <t>ООО "АРРИАРС"</t>
  </si>
  <si>
    <t>ОБЩЕСТВО С ОГРАНИЧЕННОЙ ОТВЕТСТВЕННОСТЬЮ "АРРИАРС"</t>
  </si>
  <si>
    <t>9310002759</t>
  </si>
  <si>
    <t>1229300136647</t>
  </si>
  <si>
    <t>287549, ДОНЕЦКАЯ НАРОДНАЯ РЕСПУБЛИКА, МАРИУПОЛЬ, Г. МАРИУПОЛЬ, Г. МАРИУПОЛЬ, Б-Р ШЕВЧЕНКО, Д. 289</t>
  </si>
  <si>
    <t>МБУК "ДК "МЕТАЛЛУРГОВ" Г. МАРИУПОЛЯ"</t>
  </si>
  <si>
    <t>МУНИЦИПАЛЬНОЕ БЮДЖЕТНОЕ УЧРЕЖДЕНИЕ КУЛЬТУРЫ "ДВОРЕЦ КУЛЬТУРЫ "МЕТАЛЛУРГОВ" Г. МАРИУПОЛЯ"</t>
  </si>
  <si>
    <t>9310002406</t>
  </si>
  <si>
    <t>1229300135866</t>
  </si>
  <si>
    <t>287524, ДОНЕЦКАЯ НАРОДНАЯ РЕСПУБЛИКА, МАРИУПОЛЬ, Г. МАРИУПОЛЬ, Г. МАРИУПОЛЬ, ПР-КТ МЕТАЛЛУРГОВ, Д. 150</t>
  </si>
  <si>
    <t>МБУК "ДК "СТРОИТЕЛЕЙ" Г. МАРИУПОЛЯ"</t>
  </si>
  <si>
    <t>МУНИЦИПАЛЬНОЕ БЮДЖЕТНОЕ УЧРЕЖДЕНИЕ КУЛЬТУРЫ "ДВОРЕЦ КУЛЬТУРЫ "СТРОИТЕЛЕЙ" Г. МАРИУПОЛЯ"</t>
  </si>
  <si>
    <t>9310002452</t>
  </si>
  <si>
    <t>1229300136174</t>
  </si>
  <si>
    <t>287541, ДОНЕЦКАЯ НАРОДНАЯ РЕСПУБЛИКА, МАРИУПОЛЬ, Г. МАРИУПОЛЬ, Г. МАРИУПОЛЬ, ПР-КТ ТУЛЬСКИЙ, Д. 13</t>
  </si>
  <si>
    <t>МБУК "КРАЕВЕДЧЕСКИЙ МУЗЕЙ Г. МАРИУПОЛЯ"</t>
  </si>
  <si>
    <t>МУНИЦИПАЛЬНОЕ БЮДЖЕТНОЕ УЧРЕЖДЕНИЕ КУЛЬТУРЫ "КРАЕВЕДЧЕСКИЙ МУЗЕЙ Г. МАРИУПОЛЯ"</t>
  </si>
  <si>
    <t>9310002685</t>
  </si>
  <si>
    <t>1229300136526</t>
  </si>
  <si>
    <t>287501, ДОНЕЦКАЯ НАРОДНАЯ РЕСПУБЛИКА, МАРИУПОЛЬ, Г. МАРИУПОЛЬ, Г. МАРИУПОЛЬ, УЛ. ГЕОРГИЕВСКАЯ, Д. 20</t>
  </si>
  <si>
    <t>МБУК "ЦБС Г. МАРИУПОЛЯ"</t>
  </si>
  <si>
    <t>МУНИЦИПАЛЬНОЕ БЮДЖЕТНОЕ УЧРЕЖДЕНИЕ КУЛЬТУРЫ "ЦЕНТРАЛИЗОВАННАЯ БИБЛИОТЕЧНАЯ СИСТЕМА Г. МАРИУПОЛЯ"</t>
  </si>
  <si>
    <t>9310002533</t>
  </si>
  <si>
    <t>1229300136229</t>
  </si>
  <si>
    <t>287501, ДОНЕЦКАЯ НАРОДНАЯ РЕСПУБЛИКА, МАРИУПОЛЬ, Г. МАРИУПОЛЬ, Г. МАРИУПОЛЬ, УЛ. ГРЕЧЕСКАЯ, Д. 43</t>
  </si>
  <si>
    <t>МБУК "ДК "ЧАЙКА" Г.МАРИУПОЛЯ"</t>
  </si>
  <si>
    <t>МУНИЦИПАЛЬНОЕ БЮДЖЕТНОЕ УЧРЕЖДЕНИЕ КУЛЬТУРЫ "ДВОРЕЦ КУЛЬТУРЫ "ЧАЙКА" Г.МАРИУПОЛЯ"</t>
  </si>
  <si>
    <t>9310003470</t>
  </si>
  <si>
    <t>1229300138341</t>
  </si>
  <si>
    <t>287510, ДОНЕЦКАЯ НАРОДНАЯ РЕСПУБЛИКА, МАРИУПОЛЬ, Г. МАРИУПОЛЬ, Г. МАРИУПОЛЬ, УЛ. АДМИРАЛА ЛУНИНА, Д. 71</t>
  </si>
  <si>
    <t>ООО "ЭКОРЕСУРС-СИТИ"</t>
  </si>
  <si>
    <t>ОБЩЕСТВО С ОГРАНИЧЕННОЙ ОТВЕТСТВЕННОСТЬЮ "ЭКОРЕСУРС-СИТИ"</t>
  </si>
  <si>
    <t>9310002290</t>
  </si>
  <si>
    <t>1229300135503</t>
  </si>
  <si>
    <t>ДОНЕЦКАЯ НАРОДНАЯ РЕСПУБЛИКА, МАРИУПОЛЬ, Г. МАРИУПОЛЬ, Г. МАРИУПОЛЬ, УЛ. АРТЁМА, Д. 152, КВ. 74</t>
  </si>
  <si>
    <t>ТСН "ГК "АВТОЛЮБИТЕЛЬ-18"</t>
  </si>
  <si>
    <t>ТОВАРИЩЕСТВО СОБСТВЕННИКОВ НЕДВИЖИМОСТИ "ГАРАЖНЫЙ КООПЕРАТИВ "АВТОЛЮБИТЕЛЬ-18"</t>
  </si>
  <si>
    <t>9310003456</t>
  </si>
  <si>
    <t>1229300138440</t>
  </si>
  <si>
    <t>ДОНЕЦКАЯ НАРОДНАЯ РЕСПУБЛИКА, МАРИУПОЛЬ, Г. МАРИУПОЛЬ, Г. МАРИУПОЛЬ, УЛ. ДНЕПРОПЕТРОВСКАЯ, Д. 76</t>
  </si>
  <si>
    <t>АТСН "АВТОЛЮБИТЕЛЬ-25"</t>
  </si>
  <si>
    <t>АВТОГАРАЖНОЕ ТОВАРИЩЕСТВО СОБСТВЕННИКОВ НЕДВИЖИМОСТИ "АВТОЛЮБИТЕЛЬ-25"</t>
  </si>
  <si>
    <t>9310005012</t>
  </si>
  <si>
    <t>1229300141069</t>
  </si>
  <si>
    <t>287510, ДОНЕЦКАЯ НАРОДНАЯ РЕСПУБЛИКА, МАРИУПОЛЬ, Г. МАРИУПОЛЬ, Г. МАРИУПОЛЬ, УЛ. КРАСНОФЛОТСКАЯ, Д. 125А</t>
  </si>
  <si>
    <t>АПК "АВТОЛЮБИТЕЛЬ-7"</t>
  </si>
  <si>
    <t>АВТОГАРАЖНЫЙ ПОТРЕБИТЕЛЬСКИЙ КООПЕРАТИВ "АВТОЛЮБИТЕЛЬ-7"</t>
  </si>
  <si>
    <t>9310002195</t>
  </si>
  <si>
    <t>1229300135448</t>
  </si>
  <si>
    <t>ДОНЕЦКАЯ НАРОДНАЯ РЕСПУБЛИКА, МАРИУПОЛЬ, Г. МАРИУПОЛЬ, Г. МАРИУПОЛЬ, Ш. ВОЛОДАРСКОЕ, Д. 23/1</t>
  </si>
  <si>
    <t>ТСН "АВТОЛЮБИТЕЛЬ"</t>
  </si>
  <si>
    <t>ТОВАРИЩЕСТВО СОБСТВЕННИКОВ НЕДВИЖИМОСТИ "АВТОЛЮБИТЕЛЬ"</t>
  </si>
  <si>
    <t>9310004971</t>
  </si>
  <si>
    <t>1229300141179</t>
  </si>
  <si>
    <t>287512, ДОНЕЦКАЯ НАРОДНАЯ РЕСПУБЛИКА, МАРИУПОЛЬ, Г. МАРИУПОЛЬ, Г. МАРИУПОЛЬ, УЛ. ЗЕЛИНСКОГО, Д. 85</t>
  </si>
  <si>
    <t>ТСН "АМЛ-2"</t>
  </si>
  <si>
    <t>ТОВАРИЩЕСТВО СОБСТВЕННИКОВ НЕДВИЖИМОСТИ "АВТОМОТОЛЮБИТЕЛЬ-2"</t>
  </si>
  <si>
    <t>9310001441</t>
  </si>
  <si>
    <t>1229300133193</t>
  </si>
  <si>
    <t>287524, ДОНЕЦКАЯ НАРОДНАЯ РЕСПУБЛИКА, МАРИУПОЛЬ, Г. МАРИУПОЛЬ, Г. МАРИУПОЛЬ, УЛ. ЗАОЗЁРНАЯ, Д. 84</t>
  </si>
  <si>
    <t>АПК "ЗА РУЛЕМ"</t>
  </si>
  <si>
    <t>АВТОГАРАЖНЫЙ ПОТРЕБИТЕЛЬСКИЙ КООПЕРАТИВ "ЗА РУЛЕМ"</t>
  </si>
  <si>
    <t>9310001378</t>
  </si>
  <si>
    <t>1229300132830</t>
  </si>
  <si>
    <t>ТСН "ГК "ИНИЦИАТИВА-ПЛЮС"</t>
  </si>
  <si>
    <t>ТОВАРИЩЕСТВО СОБСТВЕННИКОВ НЕДВИЖИМОСТИ "ГАРАЖНЫЙ КООПЕРАТИВ "ИНИЦИАТИВА-ПЛЮС"</t>
  </si>
  <si>
    <t>9310004509</t>
  </si>
  <si>
    <t>1229300139947</t>
  </si>
  <si>
    <t>ДОНЕЦКАЯ НАРОДНАЯ РЕСПУБЛИКА, МАРИУПОЛЬ, Г. МАРИУПОЛЬ, Г. МАРИУПОЛЬ, УЛ. КУПРИНА, Д. 60</t>
  </si>
  <si>
    <t>АПК "ПЕЙЗАЖНЫЙ"</t>
  </si>
  <si>
    <t>АВТОГАРАЖНЫЙ ПОТРЕБИТЕЛЬСКИЙ КООПЕРАТИВ "ПЕЙЗАЖНЫЙ"</t>
  </si>
  <si>
    <t>9310001120</t>
  </si>
  <si>
    <t>1229300132380</t>
  </si>
  <si>
    <t>ДОНЕЦКАЯ НАРОДНАЯ РЕСПУБЛИКА, МАРИУПОЛЬ, Г. МАРИУПОЛЬ, Г. МАРИУПОЛЬ, УЛ. ПЕЙЗАЖНАЯ, Д. 1</t>
  </si>
  <si>
    <t>АТСН "СИГНАЛ"</t>
  </si>
  <si>
    <t>АВТОГАРАЖНОЕ ТОВАРИЩЕСТВО СОБСТВЕННИКОВ НЕДВИЖИМОСТИ "СИГНАЛ"</t>
  </si>
  <si>
    <t>9310000960</t>
  </si>
  <si>
    <t>1229300132324</t>
  </si>
  <si>
    <t>287512, ДОНЕЦКАЯ НАРОДНАЯ РЕСПУБЛИКА, МАРИУПОЛЬ, Г. МАРИУПОЛЬ, Г. МАРИУПОЛЬ, УЛ. КУПРИНА, Д. 46</t>
  </si>
  <si>
    <t>ТСН "АМЛ-23"</t>
  </si>
  <si>
    <t>ТОВАРИЩЕСТВО СОБСТВЕННИКОВ НЕДВИЖИМОСТИ "АМЛ-23"</t>
  </si>
  <si>
    <t>9310001579</t>
  </si>
  <si>
    <t>1229300133446</t>
  </si>
  <si>
    <t>ТСН "ГК "ЯЛИК"</t>
  </si>
  <si>
    <t>ТОВАРИЩЕСТВО СОБСТВЕННИКОВ НЕДВИЖИМОСТИ "ГАРАЖНЫЙ КООПЕРАТИВ "ЯЛИК"</t>
  </si>
  <si>
    <t>9310004273</t>
  </si>
  <si>
    <t>1229300139639</t>
  </si>
  <si>
    <t>287510, ДОНЕЦКАЯ НАРОДНАЯ РЕСПУБЛИКА, МАРИУПОЛЬ, Г. МАРИУПОЛЬ, Г. МАРИУПОЛЬ, ПР-КТ ЛУНИНА, Д. 6, КВ. 5</t>
  </si>
  <si>
    <t>СНТ "БЕРЕЗКА"</t>
  </si>
  <si>
    <t>САДОВОДЧЕСКОЕ НЕКОММЕРЧЕСКОЕ ТОВАРИЩЕСТВО "БЕРЕЗКА"</t>
  </si>
  <si>
    <t>9310003696</t>
  </si>
  <si>
    <t>1229300138770</t>
  </si>
  <si>
    <t>287526, ДОНЕЦКАЯ НАРОДНАЯ РЕСПУБЛИКА, МАРИУПОЛЬ, Г. МАРИУПОЛЬ, Г. МАРИУПОЛЬ, УЛ. МОСКОВСКАЯ, Д. 61, КВ. 64</t>
  </si>
  <si>
    <t>ТСН "ГК"АМС"</t>
  </si>
  <si>
    <t>ТОВАРИЩЕСТВО СОБСТВЕННИКОВ НЕДВИЖИМОСТИ "ГАРАЖНЫЙ КООПЕРАТИВ "АВТОМОТОСОЮЗ"</t>
  </si>
  <si>
    <t>9310001025</t>
  </si>
  <si>
    <t>1229300132335</t>
  </si>
  <si>
    <t>287541, ДОНЕЦКАЯ НАРОДНАЯ РЕСПУБЛИКА, МАРИУПОЛЬ, Г. МАРИУПОЛЬ, Г. МАРИУПОЛЬ, УЛ. ЛЕПОРСКОГО, Д. 13</t>
  </si>
  <si>
    <t>ООО "УСЛУГА"</t>
  </si>
  <si>
    <t>ОБЩЕСТВО С ОГРАНИЧЕННОЙ ОТВЕТСТВЕННОСТЬЮ "УСЛУГА"</t>
  </si>
  <si>
    <t>9310004788</t>
  </si>
  <si>
    <t>1229300140783</t>
  </si>
  <si>
    <t>ДОНЕЦКАЯ НАРОДНАЯ РЕСПУБЛИКА, МАРИУПОЛЬ, Г. МАРИУПОЛЬ, Г. МАРИУПОЛЬ, Б-Р БОГДАНА ХМЕЛЬНИЦКОГО, Д. 10/9</t>
  </si>
  <si>
    <t>ГБУ ДНР "ОД Г.МАРИУПОЛЯ"</t>
  </si>
  <si>
    <t>ГОСУДАРСТВЕННОЕ БЮДЖЕТНОЕ УЧРЕЖДЕНИЕ ДОНЕЦКОЙ НАРОДНОЙ РЕСПУБЛИКИ "ОНКОЛОГИЧЕСКИЙ ДИСПАНСЕР Г.МАРИУПОЛЯ"</t>
  </si>
  <si>
    <t>9310000487</t>
  </si>
  <si>
    <t>1229300131224</t>
  </si>
  <si>
    <t>287501, ДОНЕЦКАЯ НАРОДНАЯ РЕСПУБЛИКА, МАРИУПОЛЬ, Г. МАРИУПОЛЬ, Г. МАРИУПОЛЬ, ПР-КТ ЛЕНИНА, Д. 80</t>
  </si>
  <si>
    <t>УТСЗН АДМИНИСТРАЦИИ ЖОВТНЕВОГО РАЙОНА ГОРОДА МАРИУПОЛЯ</t>
  </si>
  <si>
    <t>УПРАВЛЕНИЕ ТРУДА И СОЦИАЛЬНОЙ ЗАЩИТЫ НАСЕЛЕНИЯ АДМИНИСТРАЦИИ ЖОВТНЕВОГО РАЙОНА ГОРОДА МАРИУПОЛЯ</t>
  </si>
  <si>
    <t>9310000455</t>
  </si>
  <si>
    <t>1229300131004</t>
  </si>
  <si>
    <t>УТСЗН АДМИНИСТРАЦИИ ИЛЬИЧЁВСКОГО РАЙОНА ГОРОДА МАРИУПОЛЯ</t>
  </si>
  <si>
    <t>УПРАВЛЕНИЕ ТРУДА И СОЦИАЛЬНОЙ ЗАЩИТЫ НАСЕЛЕНИЯ АДМИНИСТРАЦИИ ИЛЬИЧЁВСКОГО РАЙОНА ГОРОДА МАРИУПОЛЯ</t>
  </si>
  <si>
    <t>9310005982</t>
  </si>
  <si>
    <t>1229300147229</t>
  </si>
  <si>
    <t>287513, ДОНЕЦКАЯ НАРОДНАЯ РЕСПУБЛИКА, МАРИУПОЛЬ, Г. МАРИУПОЛЬ, Г. МАРИУПОЛЬ, КВ-Л 24, Д. 21А</t>
  </si>
  <si>
    <t>УТСЗН АДМИНИСТРАЦИИ ОРДЖОНИКИДЗЕВСКОГО РАЙОНА ГОРОДА МАРИУПОЛЯ</t>
  </si>
  <si>
    <t>УПРАВЛЕНИЕ ТРУДА И СОЦИАЛЬНОЙ ЗАЩИТЫ НАСЕЛЕНИЯ АДМИНИСТРАЦИИ ОРДЖОНИКИДЗЕВСКОГО РАЙОНА ГОРОДА МАРИУПОЛЯ</t>
  </si>
  <si>
    <t>9310005968</t>
  </si>
  <si>
    <t>1229300145360</t>
  </si>
  <si>
    <t>287526, ДОНЕЦКАЯ НАРОДНАЯ РЕСПУБЛИКА, МАРИУПОЛЬ, Г. МАРИУПОЛЬ, Г. МАРИУПОЛЬ, УЛ. ОРДЖОНИКИДЗЕ, Д. 51</t>
  </si>
  <si>
    <t>УТСЗН АДМИНИСТРАЦИИ ПРИМОРСКОГО РАЙОНА ГОРОДА МАРИУПОЛЯ</t>
  </si>
  <si>
    <t>УПРАВЛЕНИЕ ТРУДА И СОЦИАЛЬНОЙ ЗАЩИТЫ НАСЕЛЕНИЯ АДМИНИСТРАЦИИ ПРИМОРСКОГО РАЙОНА ГОРОДА МАРИУПОЛЯ</t>
  </si>
  <si>
    <t>9310004629</t>
  </si>
  <si>
    <t>1229300140300</t>
  </si>
  <si>
    <t>СНТ "КАЛЬМИУС"</t>
  </si>
  <si>
    <t>САДОВОДЧЕСКОЕ НЕКОММЕРЧЕСКОЕ ТОВАРИЩЕСТВО "КАЛЬМИУС"</t>
  </si>
  <si>
    <t>9310004403</t>
  </si>
  <si>
    <t>1229300139925</t>
  </si>
  <si>
    <t>287541, ДОНЕЦКАЯ НАРОДНАЯ РЕСПУБЛИКА, МАРИУПОЛЬ, Г. МАРИУПОЛЬ, Г. МАРИУПОЛЬ, Б-Р 50 ЛЕТ ОКТЯБРЯ, Д. 34, КВ. 48</t>
  </si>
  <si>
    <t>ПК "ГРАНИТНЫЙ"</t>
  </si>
  <si>
    <t>ПОТРЕБИТЕЛЬСКИЙ КООПЕРАТИВ "ГРАНИТНЫЙ"</t>
  </si>
  <si>
    <t>9310001498</t>
  </si>
  <si>
    <t>1229300133138</t>
  </si>
  <si>
    <t>ДОНЕЦКАЯ НАРОДНАЯ РЕСПУБЛИКА, МАРИУПОЛЬ, Г. МАРИУПОЛЬ, Г. МАРИУПОЛЬ, УЛ. СЕМЕНЕНКО, Д. 5</t>
  </si>
  <si>
    <t>ПК "ИЛЬИЧЕВЕЦ"</t>
  </si>
  <si>
    <t>ПОТРЕБИТЕЛЬСКИЙ КООПЕРАТИВ "ИЛЬИЧЕВЕЦ"</t>
  </si>
  <si>
    <t>9310003671</t>
  </si>
  <si>
    <t>1229300138759</t>
  </si>
  <si>
    <t>287504, ДОНЕЦКАЯ НАРОДНАЯ РЕСПУБЛИКА, МАРИУПОЛЬ, Г. МАРИУПОЛЬ, Г. МАРИУПОЛЬ, УЛ. МАКАРА МАЗАЯ, Д. 16</t>
  </si>
  <si>
    <t>ПК "МЖК "МАШИНОСТРОИТЕЛЬ"</t>
  </si>
  <si>
    <t>ПОТРЕБИТЕЛЬСКИЙ КООПЕРАТИВ "МОЛОДЕЖНЫЙ ЖИЛОЙ КОМПЛЕКС "МАШИНОСТРОИТЕЛЬ"</t>
  </si>
  <si>
    <t>9310001297</t>
  </si>
  <si>
    <t>1229300132632</t>
  </si>
  <si>
    <t>287537, ДОНЕЦКАЯ НАРОДНАЯ РЕСПУБЛИКА, МАРИУПОЛЬ, Г. МАРИУПОЛЬ, Г. МАРИУПОЛЬ, УЛ. ГРОМОВОЙ, Д. 60</t>
  </si>
  <si>
    <t>ПК "ОБЩЕСТВО ЦВЕТОВОДОВ-ЛЮБИТЕЛЕЙ ЖОВТНЕВОГО РАЙОНА"</t>
  </si>
  <si>
    <t>ПОТРЕБИТЕЛЬСКИЙ КООПЕРАТИВ "ОБЩЕСТВО ЦВЕТОВОДОВ-ЛЮБИТЕЛЕЙ ЖОВТНЕВОГО РАЙОНА"</t>
  </si>
  <si>
    <t>9310002780</t>
  </si>
  <si>
    <t>1229300137032</t>
  </si>
  <si>
    <t>287510, ДОНЕЦКАЯ НАРОДНАЯ РЕСПУБЛИКА, МАРИУПОЛЬ, Г. МАРИУПОЛЬ, Г. МАРИУПОЛЬ, УЛ. ВОССТАНИЯ, Д. 11</t>
  </si>
  <si>
    <t>ПК "МЕТАЛЛУРГ"</t>
  </si>
  <si>
    <t>ПОТРЕБИТЕЛЬСКИЙ КООПЕРАТИВ АВТОЛЮБИТЕЛЕЙ "МЕТАЛЛУРГ"</t>
  </si>
  <si>
    <t>9310004851</t>
  </si>
  <si>
    <t>1229300140849</t>
  </si>
  <si>
    <t>ООО " "УНИВЕРСАЛ СЕРВИС-08"</t>
  </si>
  <si>
    <t>ОБЩЕСТВО С ОГРАНИЧЕННОЙ ОТВЕТСТВЕННОСТЬЮ "УНИВЕРСАЛ СЕРВИС-08"</t>
  </si>
  <si>
    <t>9310004210</t>
  </si>
  <si>
    <t>1229300139595</t>
  </si>
  <si>
    <t>ООО "ЛЕО-МАРКЕТ"</t>
  </si>
  <si>
    <t>ОБЩЕСТВО С ОГРАНИЧЕННОЙ ОТВЕТСТВЕННОСТЬЮ "ЛЕО-МАРКЕТ"</t>
  </si>
  <si>
    <t>9310001152</t>
  </si>
  <si>
    <t>1229300132423</t>
  </si>
  <si>
    <t>287524, ДОНЕЦКАЯ НАРОДНАЯ РЕСПУБЛИКА, МАРИУПОЛЬ, Г. МАРИУПОЛЬ, Г. МАРИУПОЛЬ, ПР-КТ МЕТАЛЛУРГОВ, Д. 200</t>
  </si>
  <si>
    <t>ООО "ТРОЙКА"</t>
  </si>
  <si>
    <t>ОБЩЕСТВО С ОГРАНИЧЕННОЙ ОТВЕТСТВЕННОСТЬЮ "ТРОЙКА"</t>
  </si>
  <si>
    <t>9310001064</t>
  </si>
  <si>
    <t>1229300132368</t>
  </si>
  <si>
    <t>287537, ДОНЕЦКАЯ НАРОДНАЯ РЕСПУБЛИКА, МАРИУПОЛЬ, Г. МАРИУПОЛЬ, Г. МАРИУПОЛЬ, ПР-КТ ЛЕНИНА, Д. 123А, ПОМЕЩ. 15</t>
  </si>
  <si>
    <t>ООО "АЗОВСТРОЙМАТЕРИАЛЫ"</t>
  </si>
  <si>
    <t>ОБЩЕСТВО С ОГРАНИЧЕННОЙ ОТВЕТСТВЕННОСТЬЮ "АЗОВСТРОЙМАТЕРИАЛЫ"</t>
  </si>
  <si>
    <t>9310004121</t>
  </si>
  <si>
    <t>1229300139496</t>
  </si>
  <si>
    <t>287504, ДОНЕЦКАЯ НАРОДНАЯ РЕСПУБЛИКА, МАРИУПОЛЬ, Г. МАРИУПОЛЬ, Г. МАРИУПОЛЬ, ЗОНА МАРТЕНОВСКИЙ, Д. 135</t>
  </si>
  <si>
    <t>ГБУ ДНР "СПК Г.МАРИУПОЛЯ"</t>
  </si>
  <si>
    <t>ГОСУДАРСТВЕННОЕ БЮДЖЕТНОЕ УЧРЕЖДЕНИЕ ДОНЕЦКОЙ НАРОДНОЙ РЕСПУБЛИКИ "СТАНЦИЯ ПЕРЕЛИВАНИЯ КРОВИ Г.МАРИУПОЛЯ"</t>
  </si>
  <si>
    <t>9310000381</t>
  </si>
  <si>
    <t>1229300130839</t>
  </si>
  <si>
    <t>287537, ДОНЕЦКАЯ НАРОДНАЯ РЕСПУБЛИКА, МАРИУПОЛЬ, Г. МАРИУПОЛЬ, Г. МАРИУПОЛЬ, УЛ. 50 ЛЕТ СССР, Д. 48</t>
  </si>
  <si>
    <t>ГБУ ДНР "ЦОМД Г.МАРИУПОЛЯ"</t>
  </si>
  <si>
    <t>ГОСУДАРСТВЕННОЕ БЮДЖЕТНОЕ УЧРЕЖДЕНИЕ ДОНЕЦКОЙ НАРОДНОЙ РЕСПУБЛИКИ "ЦЕНТР ОХРАНЫ МАТЕРИНСТВА И ДЕТСТВА Г.МАРИУПОЛЯ"</t>
  </si>
  <si>
    <t>9310000462</t>
  </si>
  <si>
    <t>1229300130949</t>
  </si>
  <si>
    <t>ОДСД АДМИНИСТРАЦИИ ИЛЬИЧЁВСКОГО РАЙОНА Г. МАРИУПОЛЯ</t>
  </si>
  <si>
    <t>ОТДЕЛ ПО ДЕЛАМ СЕМЬИ И ДЕТЕЙ АДМИНИСТРАЦИИ ИЛЬИЧЁВСКОГО РАЙОНА ГОРОДА МАРИУПОЛЯ</t>
  </si>
  <si>
    <t>9310001650</t>
  </si>
  <si>
    <t>1229300133743</t>
  </si>
  <si>
    <t>ООО "ГАРАНТСТРОЙ"</t>
  </si>
  <si>
    <t>ОБЩЕСТВО С ОГРАНИЧЕННОЙ ОТВЕТСТВЕННОСТЬЮ "ГАРАНТСТРОЙ"</t>
  </si>
  <si>
    <t>9310006182</t>
  </si>
  <si>
    <t>1239300000060</t>
  </si>
  <si>
    <t>287504, ДОНЕЦКАЯ НАРОДНАЯ РЕСПУБЛИКА, МАРИУПОЛЬ, Г. МАРИУПОЛЬ, Г. МАРИУПОЛЬ, УЛ. МАМИНА-СИБИРЯКА, Д. 45</t>
  </si>
  <si>
    <t>ООО "ЛЮКС"</t>
  </si>
  <si>
    <t>ОБЩЕСТВО С ОГРАНИЧЕННОЙ ОТВЕТСТВЕННОСТЬЮ "ЛЮКС"</t>
  </si>
  <si>
    <t>9310002269</t>
  </si>
  <si>
    <t>1229300135437</t>
  </si>
  <si>
    <t>287501, ДОНЕЦКАЯ НАРОДНАЯ РЕСПУБЛИКА, МАРИУПОЛЬ, Г. МАРИУПОЛЬ, Г. МАРИУПОЛЬ, ПР-КТ МЕТАЛЛУРГОВ, Д. 47, ПОМЕЩ. 1,2</t>
  </si>
  <si>
    <t>ООО "ИЛЮС"</t>
  </si>
  <si>
    <t>ОБЩЕСТВО С ОГРАНИЧЕННОЙ ОТВЕТСТВЕННОСТЬЮ "ИЛЮС"</t>
  </si>
  <si>
    <t>9310004178</t>
  </si>
  <si>
    <t>1229300139518</t>
  </si>
  <si>
    <t>ДОНЕЦКАЯ НАРОДНАЯ РЕСПУБЛИКА, МАРИУПОЛЬ, Г. МАРИУПОЛЬ, Г. МАРИУПОЛЬ, Б-Р ПРИМОРСКИЙ, Д. 1/5</t>
  </si>
  <si>
    <t>ООО "КВАРТАЛ"</t>
  </si>
  <si>
    <t>ОБЩЕСТВО С ОГРАНИЧЕННОЙ ОТВЕТСТВЕННОСТЬЮ "КВАРТАЛ"</t>
  </si>
  <si>
    <t>9310006175</t>
  </si>
  <si>
    <t>1229300177908</t>
  </si>
  <si>
    <t>287554, ДОНЕЦКАЯ НАРОДНАЯ РЕСПУБЛИКА, МАРИУПОЛЬ, Г. МАРИУПОЛЬ, Г. МАРИУПОЛЬ, УЛ. БАХМУТСКАЯ, Д. 120, КВ. 25</t>
  </si>
  <si>
    <t>ГК "АЗОВЕЦ"</t>
  </si>
  <si>
    <t>ГАРАЖНЫЙ КООПЕРАТИВ "АЗОВЕЦ"</t>
  </si>
  <si>
    <t>9310004890</t>
  </si>
  <si>
    <t>1229300140860</t>
  </si>
  <si>
    <t>ДОНЕЦКАЯ НАРОДНАЯ РЕСПУБЛИКА, МАРИУПОЛЬ, Г. МАРИУПОЛЬ, Г. МАРИУПОЛЬ, ПЕР. ТКАЧЕНКО-ПЕТРЕНКО, Д. 2Б</t>
  </si>
  <si>
    <t>ГБУ ДНР "ЦПМСП № 2 Г.МАРИУПОЛЯ"</t>
  </si>
  <si>
    <t>ГОСУДАРСТВЕННОЕ БЮДЖЕТНОЕ УЧРЕЖДЕНИЕ ДОНЕЦКОЙ НАРОДНОЙ РЕСПУБЛИКИ "ЦЕНТР ПЕРВИЧНОЙ МЕДИКО-САНИТАРНОЙ ПОМОЩИ № 2 Г.МАРИУПОЛЯ"</t>
  </si>
  <si>
    <t>9310000470</t>
  </si>
  <si>
    <t>1229300130950</t>
  </si>
  <si>
    <t>287537, ДОНЕЦКАЯ НАРОДНАЯ РЕСПУБЛИКА, МАРИУПОЛЬ, Г. МАРИУПОЛЬ, Г. МАРИУПОЛЬ, УЛ. 50 ЛЕТ СССР, Д. 46А</t>
  </si>
  <si>
    <t>ГБУ ДНР "ЦПМСП № 5 Г.МАРИУПОЛЯ"</t>
  </si>
  <si>
    <t>ГОСУДАРСТВЕННОЕ БЮДЖЕТНОЕ УЧРЕЖДЕНИЕ ДОНЕЦКОЙ НАРОДНОЙ РЕСПУБЛИКИ "ЦЕНТР ПЕРВИЧНОЙ МЕДИКО-САНИТАРНОЙ ПОМОЩИ № 5 Г.МАРИУПОЛЯ"</t>
  </si>
  <si>
    <t>9310000409</t>
  </si>
  <si>
    <t>1229300130840</t>
  </si>
  <si>
    <t>287526, ДОНЕЦКАЯ НАРОДНАЯ РЕСПУБЛИКА, МАРИУПОЛЬ, Г. МАРИУПОЛЬ, Г. МАРИУПОЛЬ, УЛ. ОРДЖОНИКИДЗЕ, Д. 56</t>
  </si>
  <si>
    <t>КФХ "ЗОЛОТОЙ ТЕЛЕЦ"</t>
  </si>
  <si>
    <t>КРЕСТЬЯНСКОЕ (ФЕРМЕРСКОЕ) ХОЗЯЙСТВО "ЗОЛОТОЙ ТЕЛЕЦ"</t>
  </si>
  <si>
    <t>9310006312</t>
  </si>
  <si>
    <t>1239300000554</t>
  </si>
  <si>
    <t>287526, ДОНЕЦКАЯ НАРОДНАЯ РЕСПУБЛИКА, МАРИУПОЛЬ, Г. МАРИУПОЛЬ, Г. МАРИУПОЛЬ, ПР-Д ПАНФИЛОВА, Д. 6, КВ. 5</t>
  </si>
  <si>
    <t>ООО «243 УЧЕБНЫЙ ЦЕНТР"</t>
  </si>
  <si>
    <t>ОБЩЕСТВО С ОГРАНИЧЕННОЙ ОТВЕТСТВЕННОСТЬЮ "243 УЧЕБНЫЙ ЦЕНТР"</t>
  </si>
  <si>
    <t>9310006520</t>
  </si>
  <si>
    <t>1239300001302</t>
  </si>
  <si>
    <t>ООО "АЛКОТОРГ"</t>
  </si>
  <si>
    <t>ОБЩЕСТВО С ОГРАНИЧЕННОЙ ОТВЕТСТВЕННОСТЬЮ "АЛКОТОРГ"</t>
  </si>
  <si>
    <t>9310006390</t>
  </si>
  <si>
    <t>1239300000829</t>
  </si>
  <si>
    <t>ДОНЕЦКАЯ НАРОДНАЯ РЕСПУБЛИКА, МАРИУПОЛЬ, Г. МАРИУПОЛЬ, Г. МАРИУПОЛЬ, УЛ. КАРПИНСКОГО, Д. 68Б</t>
  </si>
  <si>
    <t>ООО "БОЛЬШОЙ ГОРОД"</t>
  </si>
  <si>
    <t>ОБЩЕСТВО С ОГРАНИЧЕННОЙ ОТВЕТСТВЕННОСТЬЮ "БОЛЬШОЙ ГОРОД"</t>
  </si>
  <si>
    <t>9310006464</t>
  </si>
  <si>
    <t>1239300001225</t>
  </si>
  <si>
    <t>287537, ДОНЕЦКАЯ НАРОДНАЯ РЕСПУБЛИКА, МАРИУПОЛЬ, Г. МАРИУПОЛЬ, Г. МАРИУПОЛЬ, УЛ. ГРОМОВОЙ, Д. 69</t>
  </si>
  <si>
    <t>ООО "ВОЛЯ"</t>
  </si>
  <si>
    <t>ОБЩЕСТВО С ОГРАНИЧЕННОЙ ОТВЕТСТВЕННОСТЬЮ "ВОЛЯ"</t>
  </si>
  <si>
    <t>9310006640</t>
  </si>
  <si>
    <t>1239300001588</t>
  </si>
  <si>
    <t>287549, ДОНЕЦКАЯ НАРОДНАЯ РЕСПУБЛИКА, МАРИУПОЛЬ, Г. МАРИУПОЛЬ, Г. МАРИУПОЛЬ, ПР-КТ МЕТАЛЛУРГОВ, Д. 94, КВ. 56</t>
  </si>
  <si>
    <t>ООО "ДЕКАРТ"</t>
  </si>
  <si>
    <t>ОБЩЕСТВО С ОГРАНИЧЕННОЙ ОТВЕТСТВЕННОСТЬЮ "ДЕКАРТ"</t>
  </si>
  <si>
    <t>9310006626</t>
  </si>
  <si>
    <t>1239300001533</t>
  </si>
  <si>
    <t>287512, ДОНЕЦКАЯ НАРОДНАЯ РЕСПУБЛИКА, МАРИУПОЛЬ, Г. МАРИУПОЛЬ, Г. МАРИУПОЛЬ, Ш. ВОЛОДАРСКОЕ, Д. 27</t>
  </si>
  <si>
    <t>ООО "ДЕЛТУР"</t>
  </si>
  <si>
    <t>ОБЩЕСТВО С ОГРАНИЧЕННОЙ ОТВЕТСТВЕННОСТЬЮ "ДЕЛТУР"</t>
  </si>
  <si>
    <t>9310006601</t>
  </si>
  <si>
    <t>1239300001511</t>
  </si>
  <si>
    <t>287524, ДОНЕЦКАЯ НАРОДНАЯ РЕСПУБЛИКА, МАРИУПОЛЬ, Г. МАРИУПОЛЬ, Г. МАРИУПОЛЬ, УЛ. ЗАОЗЁРНАЯ, Д. 50</t>
  </si>
  <si>
    <t>ООО "ЖБИ-1"</t>
  </si>
  <si>
    <t>ОБЩЕСТВО С ОГРАНИЧЕННОЙ ОТВЕТСТВЕННОСТЬЮ "ЖБИ-1"</t>
  </si>
  <si>
    <t>9310006344</t>
  </si>
  <si>
    <t>1239300000664</t>
  </si>
  <si>
    <t>287510, ДОНЕЦКАЯ НАРОДНАЯ РЕСПУБЛИКА, МАРИУПОЛЬ, Г. МАРИУПОЛЬ, Г. МАРИУПОЛЬ, УЛ. КРАСНОФЛОТСКАЯ, Д. 137</t>
  </si>
  <si>
    <t>ООО "ЛАДОГА"</t>
  </si>
  <si>
    <t>ОБЩЕСТВО С ОГРАНИЧЕННОЙ ОТВЕТСТВЕННОСТЬЮ "ЛАДОГА"</t>
  </si>
  <si>
    <t>9310006545</t>
  </si>
  <si>
    <t>1239300001390</t>
  </si>
  <si>
    <t>ООО "МАРМЕРКАНТ"</t>
  </si>
  <si>
    <t>ОБЩЕСТВО С ОГРАНИЧЕННОЙ ОТВЕТСТВЕННОСТЬЮ "МАРМЕРКАНТ"</t>
  </si>
  <si>
    <t>9310006432</t>
  </si>
  <si>
    <t>1239300001159</t>
  </si>
  <si>
    <t>287537, ДОНЕЦКАЯ НАРОДНАЯ РЕСПУБЛИКА, МАРИУПОЛЬ, Г. МАРИУПОЛЬ, Г. МАРИУПОЛЬ, УЛ. БАХЧИВАНДЖИ, Д. 27А, КВ. 78</t>
  </si>
  <si>
    <t>ООО "МАУС"</t>
  </si>
  <si>
    <t>ОБЩЕСТВО С ОГРАНИЧЕННОЙ ОТВЕТСТВЕННОСТЬЮ "МАУС"</t>
  </si>
  <si>
    <t>9310006560</t>
  </si>
  <si>
    <t>1239300001434</t>
  </si>
  <si>
    <t>287510, ДОНЕЦКАЯ НАРОДНАЯ РЕСПУБЛИКА, МАРИУПОЛЬ, Г. МАРИУПОЛЬ, Г. МАРИУПОЛЬ, УЛ. ГАГАРИНА, Д. 3, КВ. 17</t>
  </si>
  <si>
    <t>ООО "МТНТ"</t>
  </si>
  <si>
    <t>ОБЩЕСТВО С ОГРАНИЧЕННОЙ ОТВЕТСТВЕННОСТЬЮ "МЕТАЛЛ ТРЕЙД НТ"</t>
  </si>
  <si>
    <t>9303032343</t>
  </si>
  <si>
    <t>1239300000642</t>
  </si>
  <si>
    <t>9310006658</t>
  </si>
  <si>
    <t>1239300001599</t>
  </si>
  <si>
    <t>287501, ДОНЕЦКАЯ НАРОДНАЯ РЕСПУБЛИКА, МАРИУПОЛЬ, Г. МАРИУПОЛЬ, Г. МАРИУПОЛЬ, УЛ. БАХЧИВАНДЖИ, Д. 22, ПОМЕЩ. 1</t>
  </si>
  <si>
    <t>ООО "ПМК-50"</t>
  </si>
  <si>
    <t>ОБЩЕСТВО С ОГРАНИЧЕННОЙ ОТВЕТСТВЕННОСТЬЮ "ПЕРЕДВИЖНАЯ МЕХАНИЗИРОВАННАЯ КОЛОННА-50"</t>
  </si>
  <si>
    <t>9310006440</t>
  </si>
  <si>
    <t>1239300001192</t>
  </si>
  <si>
    <t>287642, ДОНЕЦКАЯ НАРОДНАЯ РЕСПУБЛИКА, МАРИУПОЛЬ, Г. МАРИУПОЛЬ, Г. МАРИУПОЛЬ, УЛ. МОРСКИХ ДЕСАНТНИКОВ, Д. 17/4, ОФИС 1</t>
  </si>
  <si>
    <t>ООО "ПКФ "АЗОВМАШПРОМ"</t>
  </si>
  <si>
    <t>ОБЩЕСТВО С ОГРАНИЧЕННОЙ ОТВЕТСТВЕННОСТЬЮ "ПРОИЗВОДСТВЕННО-КОММЕРЧЕСКАЯ ФИРМА "АЗОВМАШПРОМ"</t>
  </si>
  <si>
    <t>9310006418</t>
  </si>
  <si>
    <t>1239300001005</t>
  </si>
  <si>
    <t>ООО "ССК"</t>
  </si>
  <si>
    <t>ОБЩЕСТВО С ОГРАНИЧЕННОЙ ОТВЕТСТВЕННОСТЬЮ "СТАЛЬНЫЕ СВАРНЫЕ КОНСТРУКЦИИ"</t>
  </si>
  <si>
    <t>9310006457</t>
  </si>
  <si>
    <t>1239300001203</t>
  </si>
  <si>
    <t>287524, ДОНЕЦКАЯ НАРОДНАЯ РЕСПУБЛИКА, МАРИУПОЛЬ, Г. МАРИУПОЛЬ, Г. МАРИУПОЛЬ, ПР-КТ КАРПОВА, Д. 42</t>
  </si>
  <si>
    <t>ООО "СТАНДАРТ"</t>
  </si>
  <si>
    <t>ОБЩЕСТВО С ОГРАНИЧЕННОЙ ОТВЕТСТВЕННОСТЬЮ "СТАНДАРТ"</t>
  </si>
  <si>
    <t>9310006506</t>
  </si>
  <si>
    <t>1239300001280</t>
  </si>
  <si>
    <t>287549, ДОНЕЦКАЯ НАРОДНАЯ РЕСПУБЛИКА, МАРИУПОЛЬ, Г. МАРИУПОЛЬ, Г. МАРИУПОЛЬ, УЛ. АРТЁМА, Д. 48, ПОМЕЩ. 117</t>
  </si>
  <si>
    <t>ООО "СК "ЛЕВОБЕРЕЖНАЯ"</t>
  </si>
  <si>
    <t>ОБЩЕСТВО С ОГРАНИЧЕННОЙ ОТВЕТСТВЕННОСТЬЮ "СТОМАТОЛОГИЧЕСКАЯ КЛИНИКА "ЛЕВОБЕРЕЖНАЯ"</t>
  </si>
  <si>
    <t>9310006633</t>
  </si>
  <si>
    <t>1239300001566</t>
  </si>
  <si>
    <t>287524, ДОНЕЦКАЯ НАРОДНАЯ РЕСПУБЛИКА, МАРИУПОЛЬ, Г. МАРИУПОЛЬ, Г. МАРИУПОЛЬ, ПР-КТ МЕТАЛЛУРГОВ, Д. 184, КВ. 10</t>
  </si>
  <si>
    <t>ООО "СТУДЕНТ-М"</t>
  </si>
  <si>
    <t>ОБЩЕСТВО С ОГРАНИЧЕННОЙ ОТВЕТСТВЕННОСТЬЮ "СТУДЕНТ-М"</t>
  </si>
  <si>
    <t>9310006584</t>
  </si>
  <si>
    <t>1239300001467</t>
  </si>
  <si>
    <t>287526, ДОНЕЦКАЯ НАРОДНАЯ РЕСПУБЛИКА, МАРИУПОЛЬ, Г. МАРИУПОЛЬ, Г. МАРИУПОЛЬ, ПР-КТ ПОБЕДЫ, Д. 100, ПОМЕЩ. 5</t>
  </si>
  <si>
    <t>ООО "ТАВРИЯ"</t>
  </si>
  <si>
    <t>ОБЩЕСТВО С ОГРАНИЧЕННОЙ ОТВЕТСТВЕННОСТЬЮ "ТАВРИЯ"</t>
  </si>
  <si>
    <t>9310006471</t>
  </si>
  <si>
    <t>1239300001236</t>
  </si>
  <si>
    <t>287504, ДОНЕЦКАЯ НАРОДНАЯ РЕСПУБЛИКА, МАРИУПОЛЬ, Г. МАРИУПОЛЬ, Г. МАРИУПОЛЬ, УЛ. МАКАРА МАЗАЯ, Д. 9</t>
  </si>
  <si>
    <t>ООО "ТОРГОВЫЙ ДОМ "ВОЗРОЖДЕНИЕ"</t>
  </si>
  <si>
    <t>ОБЩЕСТВО С ОГРАНИЧЕННОЙ ОТВЕТСТВЕННОСТЬЮ "ТОРГОВЫЙ ДОМ "ВОЗРОЖДЕНИЕ"</t>
  </si>
  <si>
    <t>9310006337</t>
  </si>
  <si>
    <t>1239300000653</t>
  </si>
  <si>
    <t>287501, ДОНЕЦКАЯ НАРОДНАЯ РЕСПУБЛИКА, МАРИУПОЛЬ, Г. МАРИУПОЛЬ, Г. МАРИУПОЛЬ, ПР-КТ НАХИМОВА, Д. 164</t>
  </si>
  <si>
    <t>ООО "ТД "МЕГА"</t>
  </si>
  <si>
    <t>ОБЩЕСТВО С ОГРАНИЧЕННОЙ ОТВЕТСТВЕННОСТЬЮ "ТОРГОВЫЙ ДОМ "МЕГА"</t>
  </si>
  <si>
    <t>9310006577</t>
  </si>
  <si>
    <t>1239300001445</t>
  </si>
  <si>
    <t>ООО "ТДС"</t>
  </si>
  <si>
    <t>ОБЩЕСТВО С ОГРАНИЧЕННОЙ ОТВЕТСТВЕННОСТЬЮ "ТРОДМИСТРОЙ"</t>
  </si>
  <si>
    <t>9310006591</t>
  </si>
  <si>
    <t>1239300001478</t>
  </si>
  <si>
    <t>287557, ДОНЕЦКАЯ НАРОДНАЯ РЕСПУБЛИКА, МАРИУПОЛЬ, Г. МАРИУПОЛЬ, Г. МАРИУПОЛЬ, УЛ. ОЛИМПИЙСКАЯ, Д. 167, КВ. 74</t>
  </si>
  <si>
    <t>ООО "УМР-АЗОВВОДСТРОЙ"</t>
  </si>
  <si>
    <t>ОБЩЕСТВО С ОГРАНИЧЕННОЙ ОТВЕТСТВЕННОСТЬЮ "УМР-АЗОВВОДСТРОЙ"</t>
  </si>
  <si>
    <t>9310006552</t>
  </si>
  <si>
    <t>1239300001423</t>
  </si>
  <si>
    <t>287557, ДОНЕЦКАЯ НАРОДНАЯ РЕСПУБЛИКА, МАРИУПОЛЬ, Г. МАРИУПОЛЬ, Г. МАРИУПОЛЬ, УЛ. БОЛЬШЕВИСТСКАЯ, Д. 13</t>
  </si>
  <si>
    <t>ООО "ФЕНИКС СЕРВИС"</t>
  </si>
  <si>
    <t>ОБЩЕСТВО С ОГРАНИЧЕННОЙ ОТВЕТСТВЕННОСТЬЮ "ФЕНИКС СЕРВИС"</t>
  </si>
  <si>
    <t>9310006619</t>
  </si>
  <si>
    <t>1239300001522</t>
  </si>
  <si>
    <t>ДОНЕЦКАЯ НАРОДНАЯ РЕСПУБЛИКА, МАРИУПОЛЬ, Г. МАРИУПОЛЬ, Г. МАРИУПОЛЬ, Б-Р БОГДАНА ХМЕЛЬНИЦКОГО, Д. 19А</t>
  </si>
  <si>
    <t>ООО "ФОРМУЛА ЗДОРОВЬЯ"</t>
  </si>
  <si>
    <t>ОБЩЕСТВО С ОГРАНИЧЕННОЙ ОТВЕТСТВЕННОСТЬЮ "ФОРМУЛА ЗДОРОВЬЯ"</t>
  </si>
  <si>
    <t>9310006496</t>
  </si>
  <si>
    <t>1239300001269</t>
  </si>
  <si>
    <t>ООО МПК "ОЛИМП"</t>
  </si>
  <si>
    <t>ОБЩЕСТВО С ОГРАНИЧЕННОЙ ОТВЕТСТВЕННОСТЬЮ МНОГОПРОФИЛЬНАЯ КОМПАНИЯ "ОЛИМП"</t>
  </si>
  <si>
    <t>9310006538</t>
  </si>
  <si>
    <t>1239300001313</t>
  </si>
  <si>
    <t>287554, ДОНЕЦКАЯ НАРОДНАЯ РЕСПУБЛИКА, МАРИУПОЛЬ, Г. МАРИУПОЛЬ, Г. МАРИУПОЛЬ, ПР-КТ СТРОИТЕЛЕЙ, Д. 163</t>
  </si>
  <si>
    <t>ФКУ ИК-13 ГУФСИН РОССИИ ПО ДОНЕЦКОЙ НАРОДНОЙ РЕСПУБЛИКЕ</t>
  </si>
  <si>
    <t>ФЕДЕРАЛЬНОЕ КАЗЕННОЕ УЧРЕЖДЕНИЕ "ИСПРАВИТЕЛЬНАЯ КОЛОНИЯ № 13 ГЛАВНОГО УПРАВЛЕНИЯ ФЕДЕРАЛЬНОЙ СЛУЖБЫ ИСПОЛНЕНИЯ НАКАЗАНИЙ ПО ДОНЕЦКОЙ НАРОДНОЙ РЕСПУБЛИКЕ"</t>
  </si>
  <si>
    <t>9310006400</t>
  </si>
  <si>
    <t>1239300000917</t>
  </si>
  <si>
    <t>287552, ДОНЕЦКАЯ НАРОДНАЯ РЕСПУБЛИКА, МАРИУПОЛЬ, Г. МАРИУПОЛЬ, Г. МАРИУПОЛЬ, ПЕР. УРАЛЬСКИЙ, Д. 61</t>
  </si>
  <si>
    <t>ФКУ СИЗО-2 ГУФСИН РОССИИ ПО ДОНЕЦКОЙ НАРОДНОЙ РЕСПУБЛИКЕ</t>
  </si>
  <si>
    <t>ФЕДЕРАЛЬНОЕ КАЗЕННОЕ УЧРЕЖДЕНИЕ "СЛЕДСТВЕННЫЙ ИЗОЛЯТОР № 2 ГЛАВНОГО УПРАВЛЕНИЯ ФЕДЕРАЛЬНОЙ СЛУЖБЫ ИСПОЛНЕНИЯ НАКАЗАНИЙ ПО ДОНЕЦКОЙ НАРОДНОЙ РЕСПУБЛИКЕ"</t>
  </si>
  <si>
    <t>9310006217</t>
  </si>
  <si>
    <t>1239300000235</t>
  </si>
  <si>
    <t>287527, ДОНЕЦКАЯ НАРОДНАЯ РЕСПУБЛИКА, МАРИУПОЛЬ, Г. МАРИУПОЛЬ, Г. МАРИУПОЛЬ, УЛ. КАМЕНСКАЯ, Д. 52</t>
  </si>
  <si>
    <t>ООО "ЛИГОС ТЕХФЛОТ"</t>
  </si>
  <si>
    <t>ОБЩЕСТВО С ОГРАНИЧЕННОЙ ОТВЕТСТВЕННОСТЬЮ  "ЛИГОС ТЕХФЛОТ"</t>
  </si>
  <si>
    <t>9310006707</t>
  </si>
  <si>
    <t>1239300001687</t>
  </si>
  <si>
    <t>ООО "АЗОВГИДРАВЛИКА"</t>
  </si>
  <si>
    <t>ОБЩЕСТВО С ОГРАНИЧЕННОЙ ОТВЕТСТВЕННОСТЬЮ "АЗОВГИДРАВЛИКА"</t>
  </si>
  <si>
    <t>9310006739</t>
  </si>
  <si>
    <t>1239300001775</t>
  </si>
  <si>
    <t>ООО "АЗОВСНАБ"</t>
  </si>
  <si>
    <t>ОБЩЕСТВО С ОГРАНИЧЕННОЙ ОТВЕТСТВЕННОСТЬЮ "АЗОВСНАБ"</t>
  </si>
  <si>
    <t>9310006746</t>
  </si>
  <si>
    <t>1239300001808</t>
  </si>
  <si>
    <t>287521, ДОНЕЦКАЯ НАРОДНАЯ РЕСПУБЛИКА, МАРИУПОЛЬ, Г. МАРИУПОЛЬ, Г. МАРИУПОЛЬ, УЛ. ЛАСКОВА, Д. 2А</t>
  </si>
  <si>
    <t>ООО "БАРХАТ"</t>
  </si>
  <si>
    <t>ОБЩЕСТВО С ОГРАНИЧЕННОЙ ОТВЕТСТВЕННОСТЬЮ "БАРХАТ"</t>
  </si>
  <si>
    <t>9310006841</t>
  </si>
  <si>
    <t>1239300002006</t>
  </si>
  <si>
    <t>287501, ДОНЕЦКАЯ НАРОДНАЯ РЕСПУБЛИКА, МАРИУПОЛЬ, Г. МАРИУПОЛЬ, Г. МАРИУПОЛЬ, ПР-КТ ЛЕНИНА, Д. 62, ПОМЕЩ. 55</t>
  </si>
  <si>
    <t>ООО "БИГРЕД-ИНВЕСТ ПЛЮС"</t>
  </si>
  <si>
    <t>ОБЩЕСТВО С ОГРАНИЧЕННОЙ ОТВЕТСТВЕННОСТЬЮ "БИГРЕД-ИНВЕСТ ПЛЮС"</t>
  </si>
  <si>
    <t>9310006270</t>
  </si>
  <si>
    <t>1239300000422</t>
  </si>
  <si>
    <t>287537, ДОНЕЦКАЯ НАРОДНАЯ РЕСПУБЛИКА, МАРИУПОЛЬ, Г. МАРИУПОЛЬ, Г. МАРИУПОЛЬ, ПР-КТ ЛЕНИНА, Д. 120</t>
  </si>
  <si>
    <t>ООО "ДАЯНА"</t>
  </si>
  <si>
    <t>ОБЩЕСТВО С ОГРАНИЧЕННОЙ ОТВЕТСТВЕННОСТЬЮ "ДАЯНА"</t>
  </si>
  <si>
    <t>9310006672</t>
  </si>
  <si>
    <t>1239300001632</t>
  </si>
  <si>
    <t>287552, ДОНЕЦКАЯ НАРОДНАЯ РЕСПУБЛИКА, МАРИУПОЛЬ, Г. МАРИУПОЛЬ, Г. МАРИУПОЛЬ, УЛ. КУРЧАТОВА, Д. 37</t>
  </si>
  <si>
    <t>ООО "ДОНГРАНД"</t>
  </si>
  <si>
    <t>ОБЩЕСТВО С ОГРАНИЧЕННОЙ ОТВЕТСТВЕННОСТЬЮ "ДОНГРАНД"</t>
  </si>
  <si>
    <t>9310006753</t>
  </si>
  <si>
    <t>1239300001819</t>
  </si>
  <si>
    <t>ООО "ДРУЗЬЯ"</t>
  </si>
  <si>
    <t>ОБЩЕСТВО С ОГРАНИЧЕННОЙ ОТВЕТСТВЕННОСТЬЮ "ДРУЗЬЯ"</t>
  </si>
  <si>
    <t>9310006383</t>
  </si>
  <si>
    <t>1239300000752</t>
  </si>
  <si>
    <t>287541, ДОНЕЦКАЯ НАРОДНАЯ РЕСПУБЛИКА, МАРИУПОЛЬ, Г. МАРИУПОЛЬ, Г. МАРИУПОЛЬ, ПР-КТ ПОБЕДЫ, Д. 39, КВ. 41</t>
  </si>
  <si>
    <t>ООО "ДЮШЕС"</t>
  </si>
  <si>
    <t>ОБЩЕСТВО С ОГРАНИЧЕННОЙ ОТВЕТСТВЕННОСТЬЮ "ДЮШЕС"</t>
  </si>
  <si>
    <t>9310007010</t>
  </si>
  <si>
    <t>1239300002908</t>
  </si>
  <si>
    <t>ДОНЕЦКАЯ НАРОДНАЯ РЕСПУБЛИКА, МАРИУПОЛЬ, Г. МАРИУПОЛЬ, Г. МАРИУПОЛЬ, УЛ. ЛАТЫШЕВА, Д. 35А</t>
  </si>
  <si>
    <t>ООО "КМТ"</t>
  </si>
  <si>
    <t>ОБЩЕСТВО С ОГРАНИЧЕННОЙ ОТВЕТСТВЕННОСТЬЮ "КАПЛЯ МАРТРЕЙД"</t>
  </si>
  <si>
    <t>9310006697</t>
  </si>
  <si>
    <t>1239300001676</t>
  </si>
  <si>
    <t>287541, ДОНЕЦКАЯ НАРОДНАЯ РЕСПУБЛИКА, МАРИУПОЛЬ, Г. МАРИУПОЛЬ, Г. МАРИУПОЛЬ, УЛ. ВОЛГОГРАДСКАЯ, Д. 8, ПОМЕЩ. 57</t>
  </si>
  <si>
    <t>ООО "КЛУБ ЛЮБИТЕЛЕЙ ПИВА"</t>
  </si>
  <si>
    <t>ОБЩЕСТВО С ОГРАНИЧЕННОЙ ОТВЕТСТВЕННОСТЬЮ "КЛУБ ЛЮБИТЕЛЕЙ ПИВА"</t>
  </si>
  <si>
    <t>9310007154</t>
  </si>
  <si>
    <t>1239300003194</t>
  </si>
  <si>
    <t>287501, ДОНЕЦКАЯ НАРОДНАЯ РЕСПУБЛИКА, МАРИУПОЛЬ, Г. МАРИУПОЛЬ, Г. МАРИУПОЛЬ, ПР-КТ ЛЕНИНА, Д. 3</t>
  </si>
  <si>
    <t>ООО "ЛИГОС СПЕЦТРАНС"</t>
  </si>
  <si>
    <t>ОБЩЕСТВО С ОГРАНИЧЕННОЙ ОТВЕТСТВЕННОСТЬЮ "ЛИГОС СПЕЦТРАНС"</t>
  </si>
  <si>
    <t>9310006680</t>
  </si>
  <si>
    <t>1239300001654</t>
  </si>
  <si>
    <t>ООО "ЛЮБАША"</t>
  </si>
  <si>
    <t>ОБЩЕСТВО С ОГРАНИЧЕННОЙ ОТВЕТСТВЕННОСТЬЮ "ЛЮБАША"</t>
  </si>
  <si>
    <t>9310007122</t>
  </si>
  <si>
    <t>1239300003139</t>
  </si>
  <si>
    <t>ДОНЕЦКАЯ НАРОДНАЯ РЕСПУБЛИКА, МАРИУПОЛЬ, Г. МАРИУПОЛЬ, Г. МАРИУПОЛЬ, УЛ. БАХЧИВАНДЖИ, Д. 69</t>
  </si>
  <si>
    <t>ООО "ЛЮКС-ТРЕЙД"</t>
  </si>
  <si>
    <t>ОБЩЕСТВО С ОГРАНИЧЕННОЙ ОТВЕТСТВЕННОСТЬЮ "ЛЮКС-ТРЕЙД"</t>
  </si>
  <si>
    <t>9310006947</t>
  </si>
  <si>
    <t>1239300002468</t>
  </si>
  <si>
    <t>287554, ДОНЕЦКАЯ НАРОДНАЯ РЕСПУБЛИКА, МАРИУПОЛЬ, Г. МАРИУПОЛЬ, Г. МАРИУПОЛЬ, УЛ. АВИАЦИОННАЯ, Д. 72</t>
  </si>
  <si>
    <t>ООО "МБЕТОН"</t>
  </si>
  <si>
    <t>ОБЩЕСТВО С ОГРАНИЧЕННОЙ ОТВЕТСТВЕННОСТЬЮ "МБЕТОН"</t>
  </si>
  <si>
    <t>9310006785</t>
  </si>
  <si>
    <t>1239300001885</t>
  </si>
  <si>
    <t>ДОНЕЦКАЯ НАРОДНАЯ РЕСПУБЛИКА, МАРИУПОЛЬ, Г. МАРИУПОЛЬ, Г. МАРИУПОЛЬ, УЛ. ГАВАНЬ ШМИДТА, Д. 8</t>
  </si>
  <si>
    <t>ООО "ОНЛАН.СОМ"</t>
  </si>
  <si>
    <t>ОБЩЕСТВО С ОГРАНИЧЕННОЙ ОТВЕТСТВЕННОСТЬЮ "ОНЛАН.СОМ"</t>
  </si>
  <si>
    <t>9310006721</t>
  </si>
  <si>
    <t>1239300001753</t>
  </si>
  <si>
    <t>ООО "ОПТСЕРВИС"</t>
  </si>
  <si>
    <t>ОБЩЕСТВО С ОГРАНИЧЕННОЙ ОТВЕТСТВЕННОСТЬЮ "ОПТСЕРВИС"</t>
  </si>
  <si>
    <t>9310006714</t>
  </si>
  <si>
    <t>1239300001720</t>
  </si>
  <si>
    <t>287524, ДОНЕЦКАЯ НАРОДНАЯ РЕСПУБЛИКА, МАРИУПОЛЬ, Г. МАРИУПОЛЬ, Г. МАРИУПОЛЬ, ПР-КТ МЕТАЛЛУРГОВ, Д. 213</t>
  </si>
  <si>
    <t>ООО "ПРЕСТИЖ"</t>
  </si>
  <si>
    <t>ОБЩЕСТВО С ОГРАНИЧЕННОЙ ОТВЕТСТВЕННОСТЬЮ "ПРЕСТИЖ"</t>
  </si>
  <si>
    <t>9310006190</t>
  </si>
  <si>
    <t>1239300000147</t>
  </si>
  <si>
    <t>287501, ДОНЕЦКАЯ НАРОДНАЯ РЕСПУБЛИКА, МАРИУПОЛЬ, Г. МАРИУПОЛЬ, Г. МАРИУПОЛЬ, УЛ. ФОНТАННАЯ, Д. 85, КВ. 36</t>
  </si>
  <si>
    <t>ООО "СТРОЙИНТЕКС"</t>
  </si>
  <si>
    <t>ОБЩЕСТВО С ОГРАНИЧЕННОЙ ОТВЕТСТВЕННОСТЬЮ "СТРОЙИНТЕКС"</t>
  </si>
  <si>
    <t>9310007179</t>
  </si>
  <si>
    <t>1239300003227</t>
  </si>
  <si>
    <t>ДОНЕЦКАЯ НАРОДНАЯ РЕСПУБЛИКА, МАРИУПОЛЬ, Г. МАРИУПОЛЬ, Г. МАРИУПОЛЬ, ПР-КТ МЕТАЛЛУРГОВ, Д. 92А, ПОМЕЩ. 47</t>
  </si>
  <si>
    <t>ООО "ТОРГСЕРВИС"</t>
  </si>
  <si>
    <t>ОБЩЕСТВО С ОГРАНИЧЕННОЙ ОТВЕТСТВЕННОСТЬЮ "ТОРГСЕРВИС"</t>
  </si>
  <si>
    <t>9310006305</t>
  </si>
  <si>
    <t>1239300000510</t>
  </si>
  <si>
    <t>9310007193</t>
  </si>
  <si>
    <t>1239300003260</t>
  </si>
  <si>
    <t>ДОНЕЦКАЯ НАРОДНАЯ РЕСПУБЛИКА, МАРИУПОЛЬ, Г. МАРИУПОЛЬ, Г. МАРИУПОЛЬ, УЛ. ЧАПАЕВА, Д. 22</t>
  </si>
  <si>
    <t>ООО "ФУД МАРКЕТ"</t>
  </si>
  <si>
    <t>ОБЩЕСТВО С ОГРАНИЧЕННОЙ ОТВЕТСТВЕННОСТЬЮ "ФУД МАРКЕТ"</t>
  </si>
  <si>
    <t>9310006898</t>
  </si>
  <si>
    <t>1239300002160</t>
  </si>
  <si>
    <t>ДОНЕЦКАЯ НАРОДНАЯ РЕСПУБЛИКА, МАРИУПОЛЬ, Г. МАРИУПОЛЬ, Г. МАРИУПОЛЬ, УЛ. ТАГАНРОГСКАЯ, Д. 40А</t>
  </si>
  <si>
    <t>ООО "ШМИДТА 8"</t>
  </si>
  <si>
    <t>ОБЩЕСТВО С ОГРАНИЧЕННОЙ ОТВЕТСТВЕННОСТЬЮ "ШМИДТА 8"</t>
  </si>
  <si>
    <t>9310006792</t>
  </si>
  <si>
    <t>1239300001907</t>
  </si>
  <si>
    <t>ООО "СК МИГСТРОЙ"</t>
  </si>
  <si>
    <t>ОБЩЕСТВО С ОГРАНИЧЕННОЙ ОТВЕТСТВЕНОСТЬЮ "СК МИГСТРОЙ"</t>
  </si>
  <si>
    <t>9310007080</t>
  </si>
  <si>
    <t>1239300003084</t>
  </si>
  <si>
    <t>ДОНЕЦКАЯ НАРОДНАЯ РЕСПУБЛИКА, МАРИУПОЛЬ, Г. МАРИУПОЛЬ, Г. МАРИУПОЛЬ, ПР-КТ НАХИМОВА, Д. 92, ПОМЕЩ. 22</t>
  </si>
  <si>
    <t>ГК "АВТОЛЮБИТЕЛЬ-11"</t>
  </si>
  <si>
    <t>ГАРАЖНЫЙ КООПЕРАТИВ "АВТОЛЮБИТЕЛЬ-11"</t>
  </si>
  <si>
    <t>9310007556</t>
  </si>
  <si>
    <t>1239300004338</t>
  </si>
  <si>
    <t>ДОНЕЦКАЯ НАРОДНАЯ РЕСПУБЛИКА, МАРИУПОЛЬ, Г. МАРИУПОЛЬ, Г. МАРИУПОЛЬ, ПЕР. ТКАЧЕНКО-ПЕТРЕНКО, Д. 2А</t>
  </si>
  <si>
    <t>ООО "АГРОРЕМПРИБОР"</t>
  </si>
  <si>
    <t>ОБЩЕСТВО С ОГРАНИЧЕННОЙ ОТВЕТСТВЕННОСТЬЮ "АГРОРЕМПРИБОР"</t>
  </si>
  <si>
    <t>9310007250</t>
  </si>
  <si>
    <t>1239300003470</t>
  </si>
  <si>
    <t>ДОНЕЦКАЯ НАРОДНАЯ РЕСПУБЛИКА, МАРИУПОЛЬ, Г. МАРИУПОЛЬ, Г. МАРИУПОЛЬ, ПЕР. АВИАЦИОННЫЙ, Д. 14</t>
  </si>
  <si>
    <t>ООО "АП-ГРУПП"</t>
  </si>
  <si>
    <t>ОБЩЕСТВО С ОГРАНИЧЕННОЙ ОТВЕТСТВЕННОСТЬЮ "АП-ГРУПП"</t>
  </si>
  <si>
    <t>9310007370</t>
  </si>
  <si>
    <t>1239300003942</t>
  </si>
  <si>
    <t>287524, ДОНЕЦКАЯ НАРОДНАЯ РЕСПУБЛИКА, МАРИУПОЛЬ, Г. МАРИУПОЛЬ, Г. МАРИУПОЛЬ, УЛ. СЕЧЕНОВА, Д. 63А, ПОМЕЩ. 166</t>
  </si>
  <si>
    <t>ООО "БЕЗОПАСНОСТЬ-2000"</t>
  </si>
  <si>
    <t>ОБЩЕСТВО С ОГРАНИЧЕННОЙ ОТВЕТСТВЕННОСТЬЮ "БЕЗОПАСНОСТЬ-2000"</t>
  </si>
  <si>
    <t>9310007267</t>
  </si>
  <si>
    <t>1239300003491</t>
  </si>
  <si>
    <t>287521, ДОНЕЦКАЯ НАРОДНАЯ РЕСПУБЛИКА, МАРИУПОЛЬ, Г. МАРИУПОЛЬ, Г. МАРИУПОЛЬ, УЛ. ЛАТЫШЕВА, Д. 25, КВ. 79</t>
  </si>
  <si>
    <t>ООО "ВИРТУС"</t>
  </si>
  <si>
    <t>ОБЩЕСТВО С ОГРАНИЧЕННОЙ ОТВЕТСТВЕННОСТЬЮ "ВИРТУС"</t>
  </si>
  <si>
    <t>9310007394</t>
  </si>
  <si>
    <t>1239300003975</t>
  </si>
  <si>
    <t>ДОНЕЦКАЯ НАРОДНАЯ РЕСПУБЛИКА, МАРИУПОЛЬ, Г. МАРИУПОЛЬ, Г. МАРИУПОЛЬ, УЛ. БЛАЖЕВИЧА, Д. 67</t>
  </si>
  <si>
    <t>ООО "ЕДИНЫЙ РАСЧЕТНЫЙ ЦЕНТР"</t>
  </si>
  <si>
    <t>ОБЩЕСТВО С ОГРАНИЧЕННОЙ ОТВЕТСТВЕННОСТЬЮ "ЕДИНЫЙ РАСЧЕТНЫЙ ЦЕНТР"</t>
  </si>
  <si>
    <t>9310007490</t>
  </si>
  <si>
    <t>1239300004173</t>
  </si>
  <si>
    <t>ООО "КИПРИДА"</t>
  </si>
  <si>
    <t>ОБЩЕСТВО С ОГРАНИЧЕННОЙ ОТВЕТСТВЕННОСТЬЮ "КИПРИДА"</t>
  </si>
  <si>
    <t>9310007362</t>
  </si>
  <si>
    <t>1239300003854</t>
  </si>
  <si>
    <t>ДОНЕЦКАЯ НАРОДНАЯ РЕСПУБЛИКА, МАРИУПОЛЬ, Г. МАРИУПОЛЬ, Г. МАРИУПОЛЬ, УЛ. ЭНГЕЛЬСА, Д. 60, ОФИС 302</t>
  </si>
  <si>
    <t>ООО "КНИГОЛЮБ"</t>
  </si>
  <si>
    <t>ОБЩЕСТВО С ОГРАНИЧЕННОЙ ОТВЕТСТВЕННОСТЬЮ "КНИГОЛЮБ"</t>
  </si>
  <si>
    <t>9310007517</t>
  </si>
  <si>
    <t>1239300004217</t>
  </si>
  <si>
    <t>287510, ДОНЕЦКАЯ НАРОДНАЯ РЕСПУБЛИКА, МАРИУПОЛЬ, Г. МАРИУПОЛЬ, Г. МАРИУПОЛЬ, ПР-КТ НАХИМОВА, Д. 108, ПОМЕЩ. 67</t>
  </si>
  <si>
    <t>ООО "МАРИНВЕСТПРОМ"</t>
  </si>
  <si>
    <t>ОБЩЕСТВО С ОГРАНИЧЕННОЙ ОТВЕТСТВЕННОСТЬЮ "МАРИНВЕСТПРОМ"</t>
  </si>
  <si>
    <t>9310007281</t>
  </si>
  <si>
    <t>1239300003535</t>
  </si>
  <si>
    <t>ДОНЕЦКАЯ НАРОДНАЯ РЕСПУБЛИКА, МАРИУПОЛЬ, Г. МАРИУПОЛЬ, Г. МАРИУПОЛЬ, УЛ. КАЗАНЦЕВА, Д. 9</t>
  </si>
  <si>
    <t>ООО "ОПТОВИК ГРУПП"</t>
  </si>
  <si>
    <t>ОБЩЕСТВО С ОГРАНИЧЕННОЙ ОТВЕТСТВЕННОСТЬЮ "ОПТОВИК ГРУПП"</t>
  </si>
  <si>
    <t>9310007210</t>
  </si>
  <si>
    <t>1239300003381</t>
  </si>
  <si>
    <t>ДОНЕЦКАЯ НАРОДНАЯ РЕСПУБЛИКА, МАРИУПОЛЬ, Г. МАРИУПОЛЬ, Г. МАРИУПОЛЬ, ПР-КТ ТУЛЬСКИЙ, Д. 66</t>
  </si>
  <si>
    <t>ООО "ОРИОН"</t>
  </si>
  <si>
    <t>ОБЩЕСТВО С ОГРАНИЧЕННОЙ ОТВЕТСТВЕННОСТЬЮ "ОРИОН"</t>
  </si>
  <si>
    <t>9310007274</t>
  </si>
  <si>
    <t>1239300003524</t>
  </si>
  <si>
    <t>ДОНЕЦКАЯ НАРОДНАЯ РЕСПУБЛИКА, МАРИУПОЛЬ, Г. МАРИУПОЛЬ, Г. МАРИУПОЛЬ, ПР-КТ МЕТАЛЛУРГОВ, Д. 68</t>
  </si>
  <si>
    <t>ООО "ПРАГМАТИКА ЮГ"</t>
  </si>
  <si>
    <t>ОБЩЕСТВО С ОГРАНИЧЕННОЙ ОТВЕТСТВЕННОСТЬЮ "ПРАГМАТИКА ЮГ"</t>
  </si>
  <si>
    <t>9310007242</t>
  </si>
  <si>
    <t>1239300003436</t>
  </si>
  <si>
    <t>287549, ДОНЕЦКАЯ НАРОДНАЯ РЕСПУБЛИКА, МАРИУПОЛЬ, Г. МАРИУПОЛЬ, Г. МАРИУПОЛЬ, ПР-КТ СТРОИТЕЛЕЙ, Д. 132, ПОМЕЩ. 10</t>
  </si>
  <si>
    <t>ООО "САНМАР"</t>
  </si>
  <si>
    <t>ОБЩЕСТВО С ОГРАНИЧЕННОЙ ОТВЕТСТВЕННОСТЬЮ "САНМАР"</t>
  </si>
  <si>
    <t>9310007309</t>
  </si>
  <si>
    <t>1239300003580</t>
  </si>
  <si>
    <t>ООО "МИРТОРГ"</t>
  </si>
  <si>
    <t>ОБЩЕСТВО С ОГРАНИЧЕННОЙ ОТВЕТСТВЕННОСТЬЮ"МИРТОРГ"</t>
  </si>
  <si>
    <t>9310007299</t>
  </si>
  <si>
    <t>1239300003579</t>
  </si>
  <si>
    <t>287524, ДОНЕЦКАЯ НАРОДНАЯ РЕСПУБЛИКА, МАРИУПОЛЬ, Г. МАРИУПОЛЬ, Г. МАРИУПОЛЬ, УЛ. СЕЧЕНОВА, Д. 65, КВ. 52</t>
  </si>
  <si>
    <t>ГПК "ДРУЖБА"</t>
  </si>
  <si>
    <t>ГАРАЖНЫЙ ПОТРЕБИТЕЛЬСКИЙ КООПЕРАТИВ "ДРУЖБА"</t>
  </si>
  <si>
    <t>9310007595</t>
  </si>
  <si>
    <t>1239300004448</t>
  </si>
  <si>
    <t>287510, ДОНЕЦКАЯ НАРОДНАЯ РЕСПУБЛИКА, МАРИУПОЛЬ, Г. МАРИУПОЛЬ, Г. МАРИУПОЛЬ, ПР-КТ СТРОИТЕЛЕЙ, Д. 1</t>
  </si>
  <si>
    <t>ООО "АЗОВ-ТВК"</t>
  </si>
  <si>
    <t>ОБЩЕСТВО С ОГРАНИЧЕННОЙ ОТВЕТСТВЕННОСТЬЮ "АЗОВ-ТВК"</t>
  </si>
  <si>
    <t>9310007764</t>
  </si>
  <si>
    <t>1239300004921</t>
  </si>
  <si>
    <t>ДОНЕЦКАЯ НАРОДНАЯ РЕСПУБЛИКА, МАРИУПОЛЬ, Г. МАРИУПОЛЬ, Г. МАРИУПОЛЬ, УЛ. ГОРНАЯ, Д. 151А</t>
  </si>
  <si>
    <t>ООО "ГЛАВБЫТ"</t>
  </si>
  <si>
    <t>ОБЩЕСТВО С ОГРАНИЧЕННОЙ ОТВЕТСТВЕННОСТЬЮ "ГЛАВБЫТ"</t>
  </si>
  <si>
    <t>9310007683</t>
  </si>
  <si>
    <t>1239300004690</t>
  </si>
  <si>
    <t>287526, ДОНЕЦКАЯ НАРОДНАЯ РЕСПУБЛИКА, МАРИУПОЛЬ, Г. МАРИУПОЛЬ, Г. МАРИУПОЛЬ, ПР-КТ ПОБЕДЫ, Д. 111, ПОМЕЩ. 52</t>
  </si>
  <si>
    <t>ООО "БАСТИОН АВТОТРАНС"</t>
  </si>
  <si>
    <t>ОБЩЕСТВО С ОГРАНИЧЕННОЙ ОТВЕТСТВЕННОСТЬЮ "БАСТИОН АВТОТРАНС"</t>
  </si>
  <si>
    <t>9310007820</t>
  </si>
  <si>
    <t>1239300005108</t>
  </si>
  <si>
    <t>ДОНЕЦКАЯ НАРОДНАЯ РЕСПУБЛИКА, МАРИУПОЛЬ, Г. МАРИУПОЛЬ, Г. МАРИУПОЛЬ, ПР-КТ СТРОИТЕЛЕЙ, Д. 189, КВ. 81</t>
  </si>
  <si>
    <t>ООО "ЛИДЕР"</t>
  </si>
  <si>
    <t>ОБЩЕСТВО С ОГРАНИЧЕННОЙ ОТВЕТСТВЕННОСТЬЮ "ЛИДЕР"</t>
  </si>
  <si>
    <t>9310007926</t>
  </si>
  <si>
    <t>1239300005295</t>
  </si>
  <si>
    <t>ДОНЕЦКАЯ НАРОДНАЯ РЕСПУБЛИКА, МАРИУПОЛЬ, Г. МАРИУПОЛЬ, Г. МАРИУПОЛЬ, ПР-КТ ЛУНИНА, Д. 15А, КВ. 106</t>
  </si>
  <si>
    <t>ООО "ЛУБЭ"</t>
  </si>
  <si>
    <t>ОБЩЕСТВО С ОГРАНИЧЕННОЙ ОТВЕТСТВЕННОСТЬЮ "ЛУБЭ"</t>
  </si>
  <si>
    <t>9310007637</t>
  </si>
  <si>
    <t>1239300004624</t>
  </si>
  <si>
    <t>287549, ДОНЕЦКАЯ НАРОДНАЯ РЕСПУБЛИКА, МАРИУПОЛЬ, Г. МАРИУПОЛЬ, Г. МАРИУПОЛЬ, УЛ. ПУГАЧЁВА, Д. 6</t>
  </si>
  <si>
    <t>ООО "МЕРКУРИЙ"</t>
  </si>
  <si>
    <t>ОБЩЕСТВО С ОГРАНИЧЕННОЙ ОТВЕТСТВЕННОСТЬЮ "МЕРКУРИЙ"</t>
  </si>
  <si>
    <t>9310007725</t>
  </si>
  <si>
    <t>1239300004811</t>
  </si>
  <si>
    <t>287524, ДОНЕЦКАЯ НАРОДНАЯ РЕСПУБЛИКА, МАРИУПОЛЬ, Г. МАРИУПОЛЬ, Г. МАРИУПОЛЬ, ПР-КТ МЕТАЛЛУРГОВ, Д. 160, ПОМЕЩ. 66</t>
  </si>
  <si>
    <t>ООО "ПРОМГАЗЫ"</t>
  </si>
  <si>
    <t>ОБЩЕСТВО С ОГРАНИЧЕННОЙ ОТВЕТСТВЕННОСТЬЮ "ПРОМГАЗЫ"</t>
  </si>
  <si>
    <t>9310007620</t>
  </si>
  <si>
    <t>1239300004591</t>
  </si>
  <si>
    <t>ДОНЕЦКАЯ НАРОДНАЯ РЕСПУБЛИКА, МАРИУПОЛЬ, Г. МАРИУПОЛЬ, Г. МАРИУПОЛЬ, УЛ. ТАГАНРОГСКАЯ, Д. 48В</t>
  </si>
  <si>
    <t>ООО "ФИРМА "ОРБИТА"</t>
  </si>
  <si>
    <t>ОБЩЕСТВО С ОГРАНИЧЕННОЙ ОТВЕТСТВЕННОСТЬЮ "ФИРМА "ОРБИТА"</t>
  </si>
  <si>
    <t>9310007605</t>
  </si>
  <si>
    <t>1239300004514</t>
  </si>
  <si>
    <t>287549, ДОНЕЦКАЯ НАРОДНАЯ РЕСПУБЛИКА, МАРИУПОЛЬ, Г. МАРИУПОЛЬ, Г. МАРИУПОЛЬ, Б-Р ШЕВЧЕНКО, Д. 91</t>
  </si>
  <si>
    <t>ООО СЗ "РКС-ДЕВЕЛОПМЕНТ"</t>
  </si>
  <si>
    <t>ОБЩЕСТВО С ОГРАНИЧЕННОЙ ОТВЕТСТВЕННОСТЬЮ СПЕЦИАЛИЗИРОВАННЫЙ ЗАСТРОЙЩИК "РКС-ДЕВЕЛОПМЕНТ"</t>
  </si>
  <si>
    <t>9310007980</t>
  </si>
  <si>
    <t>1239300005526</t>
  </si>
  <si>
    <t>287501, ДОНЕЦКАЯ НАРОДНАЯ РЕСПУБЛИКА, МАРИУПОЛЬ, Г. МАРИУПОЛЬ, Г. МАРИУПОЛЬ, ПЕР. НАХИМОВА, Д. 6</t>
  </si>
  <si>
    <t>АПК "АВИАТОР"</t>
  </si>
  <si>
    <t>АВТОГАРАЖНЫЙ ПОТРЕБИТЕЛЬСКИЙ КООПЕРАТИВ "АВИАТОР"</t>
  </si>
  <si>
    <t>9310008359</t>
  </si>
  <si>
    <t>1239300006406</t>
  </si>
  <si>
    <t>ДОНЕЦКАЯ НАРОДНАЯ РЕСПУБЛИКА, МАРИУПОЛЬ, Г. МАРИУПОЛЬ, Г. МАРИУПОЛЬ, УЛ. ГРАНИТНАЯ, Д. 110А</t>
  </si>
  <si>
    <t>АПК "АВТОЛЮБИТЕЛЬ-1"</t>
  </si>
  <si>
    <t>АВТОГАРАЖНЫЙ ПОТРЕБИТЕЛЬСКИЙ КООПЕРАТИВ "АВТОЛЮБИТЕЛЬ-1"</t>
  </si>
  <si>
    <t>9310008380</t>
  </si>
  <si>
    <t>1239300006483</t>
  </si>
  <si>
    <t>ДОНЕЦКАЯ НАРОДНАЯ РЕСПУБЛИКА, МАРИУПОЛЬ, Г. МАРИУПОЛЬ, Г. МАРИУПОЛЬ, УЛ. ГРОМОВОЙ, Д. 1</t>
  </si>
  <si>
    <t>АПК "ВЕЧЕРНИЙ"</t>
  </si>
  <si>
    <t>АВТОГАРАЖНЫЙ ПОТРЕБИТЕЛЬСКИЙ КООПЕРАТИВ "ВЕЧЕРНИЙ"</t>
  </si>
  <si>
    <t>9310008278</t>
  </si>
  <si>
    <t>1239300006241</t>
  </si>
  <si>
    <t>287526, ДОНЕЦКАЯ НАРОДНАЯ РЕСПУБЛИКА, МАРИУПОЛЬ, Г. МАРИУПОЛЬ, Г. МАРИУПОЛЬ, УЛ. ОЛИМПИЙСКАЯ, Д. 77, КВ. 216</t>
  </si>
  <si>
    <t>АПК "ЦЕНТРАЛЬНЫЙ"</t>
  </si>
  <si>
    <t>АВТОГАРАЖНЫЙ ПОТРЕБИТЕЛЬСКИЙ КООПЕРАТИВ "ЦЕНТРАЛЬНЫЙ"</t>
  </si>
  <si>
    <t>9310007838</t>
  </si>
  <si>
    <t>1239300005119</t>
  </si>
  <si>
    <t>ДОНЕЦКАЯ НАРОДНАЯ РЕСПУБЛИКА, МАРИУПОЛЬ, Г. МАРИУПОЛЬ, Г. МАРИУПОЛЬ, УЛ. ГРОМОВОЙ, Д. 42</t>
  </si>
  <si>
    <t>АНО "МАЖЕНИКА"</t>
  </si>
  <si>
    <t>АВТОНОМНАЯ НЕКОММЕРЧЕСКАЯ ОРГАНИЗАЦИЯ ПОМОЩИ ДЕТЯМ С ОСОБЕННОСТЯМИ МЕНТАЛЬНОГО РАЗВИТИЯ И ИХ СЕМЬЯМ "МАЖЕНИКА"</t>
  </si>
  <si>
    <t>9310008180</t>
  </si>
  <si>
    <t>1239300006076</t>
  </si>
  <si>
    <t>287549, ДОНЕЦКАЯ НАРОДНАЯ РЕСПУБЛИКА, МАРИУПОЛЬ, Г. МАРИУПОЛЬ, Г. МАРИУПОЛЬ, УЛ. ОКТЯБРЬСКАЯ, Д. 21</t>
  </si>
  <si>
    <t>ГЛК "ЮЖНЫЙ"</t>
  </si>
  <si>
    <t>ГАРАЖНЫЙ ЛОДОЧНЫЙ КООПЕРАТИВ "ЮЖНЫЙ"</t>
  </si>
  <si>
    <t>9310008609</t>
  </si>
  <si>
    <t>1239300007044</t>
  </si>
  <si>
    <t>287524, ДОНЕЦКАЯ НАРОДНАЯ РЕСПУБЛИКА, МАРИУПОЛЬ, Г. МАРИУПОЛЬ, Г. МАРИУПОЛЬ, УЛ. СЕЧЕНОВА, Д. 90, КВ. 25</t>
  </si>
  <si>
    <t>ГПК АВТОГАРАЖИ "ПАРКИНГ"</t>
  </si>
  <si>
    <t>ГАРАЖНЫЙ ПОТРЕБИТЕЛЬСКИЙ КООПЕРАТИВ "АВТОГАРАЖИ "ПАРКИНГ"</t>
  </si>
  <si>
    <t>9310008782</t>
  </si>
  <si>
    <t>1239300007286</t>
  </si>
  <si>
    <t>ДОНЕЦКАЯ НАРОДНАЯ РЕСПУБЛИКА, МАРИУПОЛЬ, Г. МАРИУПОЛЬ, Г. МАРИУПОЛЬ, УЛ. КУПРИНА, Д. 41А</t>
  </si>
  <si>
    <t>ГПК "АВТОКРАТ"</t>
  </si>
  <si>
    <t>ГАРАЖНЫЙ ПОТРЕБИТЕЛЬСКИЙ КООПЕРАТИВ "АВТОКРАТ"</t>
  </si>
  <si>
    <t>9310008623</t>
  </si>
  <si>
    <t>1239300007066</t>
  </si>
  <si>
    <t>287541, ДОНЕЦКАЯ НАРОДНАЯ РЕСПУБЛИКА, МАРИУПОЛЬ, Г. МАРИУПОЛЬ, Г. МАРИУПОЛЬ, УЛ. МОСКОВСКАЯ, Д. 7А</t>
  </si>
  <si>
    <t>ГПК "АВТОЛЮБИТЕЛЬ-12"</t>
  </si>
  <si>
    <t>ГАРАЖНЫЙ ПОТРЕБИТЕЛЬСКИЙ КООПЕРАТИВ "АВТОЛЮБИТЕЛЬ-12"</t>
  </si>
  <si>
    <t>9310008260</t>
  </si>
  <si>
    <t>1239300006220</t>
  </si>
  <si>
    <t>287510, ДОНЕЦКАЯ НАРОДНАЯ РЕСПУБЛИКА, МАРИУПОЛЬ, Г. МАРИУПОЛЬ, Г. МАРИУПОЛЬ, ПР-КТ СТРОИТЕЛЕЙ, Д. 15, КВ. 61</t>
  </si>
  <si>
    <t>ГПК "АВТОЛЮБИТЕЛЬ-21"</t>
  </si>
  <si>
    <t>ГАРАЖНЫЙ ПОТРЕБИТЕЛЬСКИЙ КООПЕРАТИВ "АВТОЛЮБИТЕЛЬ-21"</t>
  </si>
  <si>
    <t>9310008895</t>
  </si>
  <si>
    <t>1239300007517</t>
  </si>
  <si>
    <t>398510, ДОНЕЦКАЯ НАРОДНАЯ РЕСПУБЛИКА, МАРИУПОЛЬ, Г. МАРИУПОЛЬ, Г. МАРИУПОЛЬ, УЛ. ОТРАДНАЯ, Д. 35</t>
  </si>
  <si>
    <t>ГПК "АВТОЛЮБИТЕЛЬ-4"</t>
  </si>
  <si>
    <t>ГАРАЖНЫЙ ПОТРЕБИТЕЛЬСКИЙ КООПЕРАТИВ "АВТОЛЮБИТЕЛЬ-4"</t>
  </si>
  <si>
    <t>9310008574</t>
  </si>
  <si>
    <t>1239300006989</t>
  </si>
  <si>
    <t>ГПК "АВТОЛЮБИТЕЛЬ №8"</t>
  </si>
  <si>
    <t>ГАРАЖНЫЙ ПОТРЕБИТЕЛЬСКИЙ КООПЕРАТИВ "АВТОЛЮБИТЕЛЬ №8"</t>
  </si>
  <si>
    <t>9310008775</t>
  </si>
  <si>
    <t>1239300007253</t>
  </si>
  <si>
    <t>287554, ДОНЕЦКАЯ НАРОДНАЯ РЕСПУБЛИКА, МАРИУПОЛЬ, Г. МАРИУПОЛЬ, Г. МАРИУПОЛЬ, ПР-КТ СТРОИТЕЛЕЙ, Д. 169, КВ. 23</t>
  </si>
  <si>
    <t>ТСН "ГК "АВТОМОТОЛЮБИТЕЛЬ-22"</t>
  </si>
  <si>
    <t>ТОВАРИЩЕСТВО СОБСТВЕННИКОВ НЕДВИЖИМОСТИ "ГАРАЖНЫЙ КООПЕРАТИВ "АВТОМОТОЛЮБИТЕЛЬ-22"</t>
  </si>
  <si>
    <t>9310008510</t>
  </si>
  <si>
    <t>1239300006758</t>
  </si>
  <si>
    <t>ДОНЕЦКАЯ НАРОДНАЯ РЕСПУБЛИКА, МАРИУПОЛЬ, Г. МАРИУПОЛЬ, Г. МАРИУПОЛЬ, УЛ. НОВОТРУБНАЯ, Д. 1</t>
  </si>
  <si>
    <t>ГПК "АВТОМОТОЛЮБИТЕЛЬ-3"</t>
  </si>
  <si>
    <t>ГАРАЖНЫЙ ПОТРЕБИТЕЛЬСКИЙ КООПЕРАТИВ "АВТОМОТОЛЮБИТЕЛЬ-3"</t>
  </si>
  <si>
    <t>9310008630</t>
  </si>
  <si>
    <t>1239300007077</t>
  </si>
  <si>
    <t>ДОНЕЦКАЯ НАРОДНАЯ РЕСПУБЛИКА, МАРИУПОЛЬ, Г. МАРИУПОЛЬ, Г. МАРИУПОЛЬ, УЛ. СЕДОВА, Д. 60А</t>
  </si>
  <si>
    <t>ГПК "ВОСТОК-АВТО-07"</t>
  </si>
  <si>
    <t>ГАРАЖНЫЙ ПОТРЕБИТЕЛЬСКИЙ КООПЕРАТИВ "ВОСТОК-АВТО-07"</t>
  </si>
  <si>
    <t>9310008253</t>
  </si>
  <si>
    <t>1239300006186</t>
  </si>
  <si>
    <t>287526, ДОНЕЦКАЯ НАРОДНАЯ РЕСПУБЛИКА, МАРИУПОЛЬ, Г. МАРИУПОЛЬ, Г. МАРИУПОЛЬ, ПР-КТ ПОБЕДЫ, Д. 116</t>
  </si>
  <si>
    <t>ГАРАЖНЫЙ ПОТРЕБИТЕЛЬСКИЙ КООПЕРАТИВ "ВОСТОЧНЫЙ-АВТО-1"</t>
  </si>
  <si>
    <t>9310008503</t>
  </si>
  <si>
    <t>1239300006747</t>
  </si>
  <si>
    <t>ДОНЕЦКАЯ НАРОДНАЯ РЕСПУБЛИКА, МАРИУПОЛЬ, Г. МАРИУПОЛЬ, Г. МАРИУПОЛЬ, УЛ. КИЕВСКАЯ, Д. 55А</t>
  </si>
  <si>
    <t>ГПК "КУРЧАТОВА-АЗОВАВТО"</t>
  </si>
  <si>
    <t>ГАРАЖНЫЙ ПОТРЕБИТЕЛЬСКИЙ КООПЕРАТИВ "КУРЧАТОВА-АЗОВАВТО"</t>
  </si>
  <si>
    <t>9310008704</t>
  </si>
  <si>
    <t>1239300007165</t>
  </si>
  <si>
    <t>ДОНЕЦКАЯ НАРОДНАЯ РЕСПУБЛИКА, МАРИУПОЛЬ, Г. МАРИУПОЛЬ, Г. МАРИУПОЛЬ, УЛ. ДАЛЬНЕВОСТОЧНАЯ, Д. 51, КВ. 7</t>
  </si>
  <si>
    <t>ГПК "ЛАДА"</t>
  </si>
  <si>
    <t>ГАРАЖНЫЙ ПОТРЕБИТЕЛЬСКИЙ КООПЕРАТИВ "ЛАДА"</t>
  </si>
  <si>
    <t>9310008687</t>
  </si>
  <si>
    <t>1239300007143</t>
  </si>
  <si>
    <t>ДОНЕЦКАЯ НАРОДНАЯ РЕСПУБЛИКА, МАРИУПОЛЬ, Г. МАРИУПОЛЬ, Г. МАРИУПОЛЬ, УЛ. ЛОМИЗОВА, Д. 8А</t>
  </si>
  <si>
    <t>ГПК "ОЛИМПИЙСКИЙ-25"</t>
  </si>
  <si>
    <t>ГАРАЖНЫЙ ПОТРЕБИТЕЛЬСКИЙ КООПЕРАТИВ "ОЛИМПИЙСКИЙ-25"</t>
  </si>
  <si>
    <t>9310008528</t>
  </si>
  <si>
    <t>1239300006769</t>
  </si>
  <si>
    <t>ГПК "СЕВЕРНЫЙ"</t>
  </si>
  <si>
    <t>ГАРАЖНЫЙ ПОТРЕБИТЕЛЬСКИЙ КООПЕРАТИВ "СЕВЕРНЫЙ"</t>
  </si>
  <si>
    <t>9310007588</t>
  </si>
  <si>
    <t>1239300004437</t>
  </si>
  <si>
    <t>287552, ДОНЕЦКАЯ НАРОДНАЯ РЕСПУБЛИКА, МАРИУПОЛЬ, Г. МАРИУПОЛЬ, Г. МАРИУПОЛЬ, УЛ. СОЛДАТСКАЯ, Д. 22</t>
  </si>
  <si>
    <t>ООО "РЕЙНА-МОТОРС"</t>
  </si>
  <si>
    <t>ОБЩЕСТВО С ОГРАНИЧЕННОЙ ОТВЕТСТВЕННОСТЬЮ  "РЕЙНА-МОТОРС"</t>
  </si>
  <si>
    <t>9310008581</t>
  </si>
  <si>
    <t>1239300006990</t>
  </si>
  <si>
    <t>ДОНЕЦКАЯ НАРОДНАЯ РЕСПУБЛИКА, МАРИУПОЛЬ, Г. МАРИУПОЛЬ, Г. МАРИУПОЛЬ, УЛ. ТАЛАЛИХИНА, Д. 8</t>
  </si>
  <si>
    <t>ООО "АВТОСЕРВИСИНВЕСТ"</t>
  </si>
  <si>
    <t>ОБЩЕСТВО С ОГРАНИЧЕННОЙ ОТВЕТСТВЕННОСТЬЮ "АВТОСЕРВИСИНВЕСТ"</t>
  </si>
  <si>
    <t>9310008415</t>
  </si>
  <si>
    <t>1239300006615</t>
  </si>
  <si>
    <t>ДОНЕЦКАЯ НАРОДНАЯ РЕСПУБЛИКА, МАРИУПОЛЬ, Г. МАРИУПОЛЬ, Г. МАРИУПОЛЬ, ПР-КТ ИЛЬИЧА, Д. 153</t>
  </si>
  <si>
    <t>ООО "АЗОВ-КОНТУР"</t>
  </si>
  <si>
    <t>ОБЩЕСТВО С ОГРАНИЧЕННОЙ ОТВЕТСТВЕННОСТЬЮ "АЗОВ-КОНТУР"</t>
  </si>
  <si>
    <t>9310008670</t>
  </si>
  <si>
    <t>1239300007132</t>
  </si>
  <si>
    <t>ДОНЕЦКАЯ НАРОДНАЯ РЕСПУБЛИКА, МАРИУПОЛЬ, Г. МАРИУПОЛЬ, Г. МАРИУПОЛЬ, УЛ. КАЗАНЦЕВА, Д. 70</t>
  </si>
  <si>
    <t>ООО "АЗОВ-ЦЕНТР ПЛЮС"</t>
  </si>
  <si>
    <t>ОБЩЕСТВО С ОГРАНИЧЕННОЙ ОТВЕТСТВЕННОСТЬЮ "АЗОВ-ЦЕНТР ПЛЮС"</t>
  </si>
  <si>
    <t>9310008373</t>
  </si>
  <si>
    <t>1239300006461</t>
  </si>
  <si>
    <t>ДОНЕЦКАЯ НАРОДНАЯ РЕСПУБЛИКА, МАРИУПОЛЬ, Г. МАРИУПОЛЬ, Г. МАРИУПОЛЬ, УЛ. КРАСНОФЛОТСКАЯ, Д. 132</t>
  </si>
  <si>
    <t>ООО "АЗОВНАУЧПРОМ НПО"</t>
  </si>
  <si>
    <t>ОБЩЕСТВО С ОГРАНИЧЕННОЙ ОТВЕТСТВЕННОСТЬЮ "АЗОВНАУЧПРОМ НПО"</t>
  </si>
  <si>
    <t>9310008430</t>
  </si>
  <si>
    <t>1239300006670</t>
  </si>
  <si>
    <t>ДОНЕЦКАЯ НАРОДНАЯ РЕСПУБЛИКА, МАРИУПОЛЬ, Г. МАРИУПОЛЬ, Г. МАРИУПОЛЬ, УЛ. КАРЛА ЛИБКНЕХТА, Д. 37</t>
  </si>
  <si>
    <t>ООО "АЗОВПРОМ"</t>
  </si>
  <si>
    <t>ОБЩЕСТВО С ОГРАНИЧЕННОЙ ОТВЕТСТВЕННОСТЬЮ "АЗОВПРОМ"</t>
  </si>
  <si>
    <t>9310008285</t>
  </si>
  <si>
    <t>1239300006252</t>
  </si>
  <si>
    <t>287501, ДОНЕЦКАЯ НАРОДНАЯ РЕСПУБЛИКА, МАРИУПОЛЬ, Г. МАРИУПОЛЬ, Г. МАРИУПОЛЬ, ПР-КТ ЛЕНИНА, Д. 2, ПОМЕЩ. 36</t>
  </si>
  <si>
    <t>ООО "АЗОВТУРСЕРВИС"</t>
  </si>
  <si>
    <t>ОБЩЕСТВО С ОГРАНИЧЕННОЙ ОТВЕТСТВЕННОСТЬЮ "АЗОВТУРСЕРВИС"</t>
  </si>
  <si>
    <t>9310008140</t>
  </si>
  <si>
    <t>1239300005900</t>
  </si>
  <si>
    <t>287541, ДОНЕЦКАЯ НАРОДНАЯ РЕСПУБЛИКА, МАРИУПОЛЬ, Г. МАРИУПОЛЬ, Г. МАРИУПОЛЬ, УЛ. ВЛАДИМИРСКАЯ, Д. 10, КВ. 4</t>
  </si>
  <si>
    <t>ООО "АЭМ"</t>
  </si>
  <si>
    <t>ОБЩЕСТВО С ОГРАНИЧЕННОЙ ОТВЕТСТВЕННОСТЬЮ "АЗОВЭЛЕКТРОМОНТАЖ"</t>
  </si>
  <si>
    <t>9310008165</t>
  </si>
  <si>
    <t>1239300005999</t>
  </si>
  <si>
    <t>287513, ДОНЕЦКАЯ НАРОДНАЯ РЕСПУБЛИКА, МАРИУПОЛЬ, Г. МАРИУПОЛЬ, Г. МАРИУПОЛЬ, УЛ. РЕЧНАЯ, Д. 7</t>
  </si>
  <si>
    <t>ООО "АЛАНТ"</t>
  </si>
  <si>
    <t>ОБЩЕСТВО С ОГРАНИЧЕННОЙ ОТВЕТСТВЕННОСТЬЮ "АЛАНТ"</t>
  </si>
  <si>
    <t>9310008126</t>
  </si>
  <si>
    <t>1239300005845</t>
  </si>
  <si>
    <t>287524, ДОНЕЦКАЯ НАРОДНАЯ РЕСПУБЛИКА, МАРИУПОЛЬ, Г. МАРИУПОЛЬ, Г. МАРИУПОЛЬ, ПР-КТ МЕТАЛЛУРГОВ, Д. 213, КВ. 28</t>
  </si>
  <si>
    <t>ООО "АЛЬТАС ГРУПП"</t>
  </si>
  <si>
    <t>ОБЩЕСТВО С ОГРАНИЧЕННОЙ ОТВЕТСТВЕННОСТЬЮ "АЛЬТАС ГРУПП"</t>
  </si>
  <si>
    <t>9310008214</t>
  </si>
  <si>
    <t>1239300006087</t>
  </si>
  <si>
    <t>287501, ДОНЕЦКАЯ НАРОДНАЯ РЕСПУБЛИКА, МАРИУПОЛЬ, Г. МАРИУПОЛЬ, Г. МАРИУПОЛЬ, УЛ. ЭНГЕЛЬСА, Д. 56, ОФИС 25</t>
  </si>
  <si>
    <t>ООО "АПТЕКА №283"</t>
  </si>
  <si>
    <t>ОБЩЕСТВО С ОГРАНИЧЕННОЙ ОТВЕТСТВЕННОСТЬЮ "АПТЕКА №283"</t>
  </si>
  <si>
    <t>9310008045</t>
  </si>
  <si>
    <t>1239300005713</t>
  </si>
  <si>
    <t>ООО "АРЕС"</t>
  </si>
  <si>
    <t>ОБЩЕСТВО С ОГРАНИЧЕННОЙ ОТВЕТСТВЕННОСТЬЮ "АРЕС"</t>
  </si>
  <si>
    <t>9310008221</t>
  </si>
  <si>
    <t>1239300006098</t>
  </si>
  <si>
    <t>ДОНЕЦКАЯ НАРОДНАЯ РЕСПУБЛИКА, МАРИУПОЛЬ, Г. МАРИУПОЛЬ, Г. МАРИУПОЛЬ, УЛ. ЛЕПСЕ, Д. 13</t>
  </si>
  <si>
    <t>ООО "АРКТОС"</t>
  </si>
  <si>
    <t>ОБЩЕСТВО С ОГРАНИЧЕННОЙ ОТВЕТСТВЕННОСТЬЮ "АРКТОС"</t>
  </si>
  <si>
    <t>9310008831</t>
  </si>
  <si>
    <t>1239300007363</t>
  </si>
  <si>
    <t>ДОНЕЦКАЯ НАРОДНАЯ РЕСПУБЛИКА, МАРИУПОЛЬ, Г. МАРИУПОЛЬ, Г. МАРИУПОЛЬ, УЛ. ЧЕЛЮСКИНЦЕВ, Д. 15</t>
  </si>
  <si>
    <t>ООО "АС МЕДИКЭЛ"</t>
  </si>
  <si>
    <t>ОБЩЕСТВО С ОГРАНИЧЕННОЙ ОТВЕТСТВЕННОСТЬЮ "АС МЕДИКЭЛ"</t>
  </si>
  <si>
    <t>9310008790</t>
  </si>
  <si>
    <t>1239300007297</t>
  </si>
  <si>
    <t>ДОНЕЦКАЯ НАРОДНАЯ РЕСПУБЛИКА, МАРИУПОЛЬ, Г. МАРИУПОЛЬ, Г. МАРИУПОЛЬ, ПЕР. ЯЛТИНСКИЙ, Д. 12</t>
  </si>
  <si>
    <t>ООО "БАЙЯРД"</t>
  </si>
  <si>
    <t>ОБЩЕСТВО С ОГРАНИЧЕННОЙ ОТВЕТСТВЕННОСТЬЮ "БАЙЯРД"</t>
  </si>
  <si>
    <t>9310008817</t>
  </si>
  <si>
    <t>1239300007341</t>
  </si>
  <si>
    <t>ДОНЕЦКАЯ НАРОДНАЯ РЕСПУБЛИКА, МАРИУПОЛЬ, Г. МАРИУПОЛЬ, Г. МАРИУПОЛЬ, УЛ. УРАЛЬСКАЯ, Д. 84</t>
  </si>
  <si>
    <t>ООО "БАНКЕТ"</t>
  </si>
  <si>
    <t>ОБЩЕСТВО С ОГРАНИЧЕННОЙ ОТВЕТСТВЕННОСТЬЮ "БАНКЕТ"</t>
  </si>
  <si>
    <t>9310008207</t>
  </si>
  <si>
    <t>1239300005933</t>
  </si>
  <si>
    <t>ДОНЕЦКАЯ НАРОДНАЯ РЕСПУБЛИКА, МАРИУПОЛЬ, Г. МАРИУПОЛЬ, Г. МАРИУПОЛЬ, УЛ. КАРАСЕВСКАЯ, Д. 12</t>
  </si>
  <si>
    <t>ООО "ГОРСТРОЙ"</t>
  </si>
  <si>
    <t>ОБЩЕСТВО С ОГРАНИЧЕННОЙ ОТВЕТСТВЕННОСТЬЮ "ГОРСТРОЙ"</t>
  </si>
  <si>
    <t>9310007757</t>
  </si>
  <si>
    <t>1239300004900</t>
  </si>
  <si>
    <t>287541, ДОНЕЦКАЯ НАРОДНАЯ РЕСПУБЛИКА, МАРИУПОЛЬ, Г. МАРИУПОЛЬ, Г. МАРИУПОЛЬ, ПЕР. БАННЫЙ, Д. 5</t>
  </si>
  <si>
    <t>ООО "ДИАБАЗ"</t>
  </si>
  <si>
    <t>ОБЩЕСТВО С ОГРАНИЧЕННОЙ ОТВЕТСТВЕННОСТЬЮ "ДИАБАЗ"</t>
  </si>
  <si>
    <t>9310008951</t>
  </si>
  <si>
    <t>1239300007660</t>
  </si>
  <si>
    <t>ДОНЕЦКАЯ НАРОДНАЯ РЕСПУБЛИКА, МАРИУПОЛЬ, Г. МАРИУПОЛЬ, Г. МАРИУПОЛЬ, ПР-КТ ПОБЕДЫ, Д. 25</t>
  </si>
  <si>
    <t>ООО "ДИЯ"</t>
  </si>
  <si>
    <t>ОБЩЕСТВО С ОГРАНИЧЕННОЙ ОТВЕТСТВЕННОСТЬЮ "ДИЯ"</t>
  </si>
  <si>
    <t>9310008302</t>
  </si>
  <si>
    <t>1239300006318</t>
  </si>
  <si>
    <t>ДОНЕЦКАЯ НАРОДНАЯ РЕСПУБЛИКА, МАРИУПОЛЬ, Г. МАРИУПОЛЬ, Г. МАРИУПОЛЬ, УЛ. ПАШКОВСКОГО, Д. 49А</t>
  </si>
  <si>
    <t>ООО "ЗАПАДНЫЙ"</t>
  </si>
  <si>
    <t>ОБЩЕСТВО С ОГРАНИЧЕННОЙ ОТВЕТСТВЕННОСТЬЮ "ЗАПАДНЫЙ"</t>
  </si>
  <si>
    <t>9310008648</t>
  </si>
  <si>
    <t>1239300007099</t>
  </si>
  <si>
    <t>ДОНЕЦКАЯ НАРОДНАЯ РЕСПУБЛИКА, МАРИУПОЛЬ, Г. МАРИУПОЛЬ, Г. МАРИУПОЛЬ, УЛ. УРИЦКОГО, Д. 65</t>
  </si>
  <si>
    <t>ООО "ИДИЛЛИЯ"</t>
  </si>
  <si>
    <t>ОБЩЕСТВО С ОГРАНИЧЕННОЙ ОТВЕТСТВЕННОСТЬЮ "ИДИЛЛИЯ"</t>
  </si>
  <si>
    <t>9310008567</t>
  </si>
  <si>
    <t>1239300006978</t>
  </si>
  <si>
    <t>ДОНЕЦКАЯ НАРОДНАЯ РЕСПУБЛИКА, МАРИУПОЛЬ, Г. МАРИУПОЛЬ, Г. МАРИУПОЛЬ, УЛ. АПАТОВА, Д. 105, КВ. 9</t>
  </si>
  <si>
    <t>ООО "ИНТЕРЛАЙН"</t>
  </si>
  <si>
    <t>ОБЩЕСТВО С ОГРАНИЧЕННОЙ ОТВЕТСТВЕННОСТЬЮ "ИНТЕРЛАЙН"</t>
  </si>
  <si>
    <t>9310007845</t>
  </si>
  <si>
    <t>1239300005120</t>
  </si>
  <si>
    <t>ООО "КОНСАЛТИНГ ГРУПП"</t>
  </si>
  <si>
    <t>ОБЩЕСТВО С ОГРАНИЧЕННОЙ ОТВЕТСТВЕННОСТЬЮ "КОНСАЛТИНГ ГРУПП"</t>
  </si>
  <si>
    <t>9310008060</t>
  </si>
  <si>
    <t>1239300005757</t>
  </si>
  <si>
    <t>287501, ДОНЕЦКАЯ НАРОДНАЯ РЕСПУБЛИКА, МАРИУПОЛЬ, Г. МАРИУПОЛЬ, Г. МАРИУПОЛЬ, УЛ. АПАТОВА, Д. 141, КВ. 5</t>
  </si>
  <si>
    <t>ООО "ЛЕГИОН"</t>
  </si>
  <si>
    <t>ОБЩЕСТВО С ОГРАНИЧЕННОЙ ОТВЕТСТВЕННОСТЬЮ "ЛЕГИОН"</t>
  </si>
  <si>
    <t>9310008077</t>
  </si>
  <si>
    <t>1239300005768</t>
  </si>
  <si>
    <t>ООО "ЛИОН СТРОЙ"</t>
  </si>
  <si>
    <t>ОБЩЕСТВО С ОГРАНИЧЕННОЙ ОТВЕТСТВЕННОСТЬЮ "ЛИОН СТРОЙ"</t>
  </si>
  <si>
    <t>9310008542</t>
  </si>
  <si>
    <t>1239300006879</t>
  </si>
  <si>
    <t>ДОНЕЦКАЯ НАРОДНАЯ РЕСПУБЛИКА, МАРИУПОЛЬ, Г. МАРИУПОЛЬ, Г. МАРИУПОЛЬ, УЛ. ПУЗЫРЕВА, Д. 64А</t>
  </si>
  <si>
    <t>ООО "М-СТАР"</t>
  </si>
  <si>
    <t>ОБЩЕСТВО С ОГРАНИЧЕННОЙ ОТВЕТСТВЕННОСТЬЮ "М-СТАР"</t>
  </si>
  <si>
    <t>9310008197</t>
  </si>
  <si>
    <t>1239300005955</t>
  </si>
  <si>
    <t>ДОНЕЦКАЯ НАРОДНАЯ РЕСПУБЛИКА, МАРИУПОЛЬ, Г. МАРИУПОЛЬ, Г. МАРИУПОЛЬ, УЛ. КАРЛА ЛИБКНЕХТА, Д. 117А</t>
  </si>
  <si>
    <t>ООО "МАГАЗИН РОМАШКА"</t>
  </si>
  <si>
    <t>ОБЩЕСТВО С ОГРАНИЧЕННОЙ ОТВЕТСТВЕННОСТЬЮ "МАГАЗИН РОМАШКА"</t>
  </si>
  <si>
    <t>9310008937</t>
  </si>
  <si>
    <t>1239300007638</t>
  </si>
  <si>
    <t>287526, ДОНЕЦКАЯ НАРОДНАЯ РЕСПУБЛИКА, МАРИУПОЛЬ, Г. МАРИУПОЛЬ, Г. МАРИУПОЛЬ, ПР-КТ ПОБЕДЫ, Д. 98</t>
  </si>
  <si>
    <t>ООО "МАРКЕТ АЙС"</t>
  </si>
  <si>
    <t>ОБЩЕСТВО С ОГРАНИЧЕННОЙ ОТВЕТСТВЕННОСТЬЮ "МАРКЕТ АЙС"</t>
  </si>
  <si>
    <t>9310008038</t>
  </si>
  <si>
    <t>1239300005680</t>
  </si>
  <si>
    <t>287526, ДОНЕЦКАЯ НАРОДНАЯ РЕСПУБЛИКА, МАРИУПОЛЬ, Г. МАРИУПОЛЬ, Г. МАРИУПОЛЬ, УЛ. ЯКОВА ГУГЕЛЯ, Д. 9</t>
  </si>
  <si>
    <t>ООО "МЕД АС"</t>
  </si>
  <si>
    <t>ОБЩЕСТВО С ОГРАНИЧЕННОЙ ОТВЕТСТВЕННОСТЬЮ "МЕД АС"</t>
  </si>
  <si>
    <t>9310008800</t>
  </si>
  <si>
    <t>1239300007308</t>
  </si>
  <si>
    <t>ООО "МЕД.КОМ"</t>
  </si>
  <si>
    <t>ОБЩЕСТВО С ОГРАНИЧЕННОЙ ОТВЕТСТВЕННОСТЬЮ "МЕД.КОМ"</t>
  </si>
  <si>
    <t>9310008944</t>
  </si>
  <si>
    <t>1239300007649</t>
  </si>
  <si>
    <t>287541, ДОНЕЦКАЯ НАРОДНАЯ РЕСПУБЛИКА, МАРИУПОЛЬ, Г. МАРИУПОЛЬ, Г. МАРИУПОЛЬ, Б-Р КОМСОМОЛЬСКИЙ, Д. 46, КВ. 134</t>
  </si>
  <si>
    <t>ООО "МЕРИДИАН"</t>
  </si>
  <si>
    <t>ОБЩЕСТВО С ОГРАНИЧЕННОЙ ОТВЕТСТВЕННОСТЬЮ "МЕРИДИАН"</t>
  </si>
  <si>
    <t>9310008454</t>
  </si>
  <si>
    <t>1239300006692</t>
  </si>
  <si>
    <t>287526, ДОНЕЦКАЯ НАРОДНАЯ РЕСПУБЛИКА, МАРИУПОЛЬ, Г. МАРИУПОЛЬ, Г. МАРИУПОЛЬ, ПР-КТ ПОБЕДЫ, Д. 113</t>
  </si>
  <si>
    <t>ООО "МЯСНОЙ ГРАДУС"</t>
  </si>
  <si>
    <t>ОБЩЕСТВО С ОГРАНИЧЕННОЙ ОТВЕТСТВЕННОСТЬЮ "МЯСНОЙ ГРАДУС"</t>
  </si>
  <si>
    <t>9310008870</t>
  </si>
  <si>
    <t>1239300007462</t>
  </si>
  <si>
    <t>ООО "ПОЛЁТ"</t>
  </si>
  <si>
    <t>ОБЩЕСТВО С ОГРАНИЧЕННОЙ ОТВЕТСТВЕННОСТЬЮ "ПОЛЁТ"</t>
  </si>
  <si>
    <t>9310008172</t>
  </si>
  <si>
    <t>1239300006021</t>
  </si>
  <si>
    <t>ДОНЕЦКАЯ НАРОДНАЯ РЕСПУБЛИКА, МАРИУПОЛЬ, Г. МАРИУПОЛЬ, Г. МАРИУПОЛЬ, УЛ. ГАГАРИНА, Д. 2</t>
  </si>
  <si>
    <t>ООО "ПКФ "АЗОВНИВА"</t>
  </si>
  <si>
    <t>ОБЩЕСТВО С ОГРАНИЧЕННОЙ ОТВЕТСТВЕННОСТЬЮ "ПРОИЗВОДСТВЕННО-КОММЕРЧЕСКАЯ ФИРМА "АЗОВНИВА"</t>
  </si>
  <si>
    <t>9310008662</t>
  </si>
  <si>
    <t>1239300007121</t>
  </si>
  <si>
    <t>ООО "РИО ОЙЛ"</t>
  </si>
  <si>
    <t>ОБЩЕСТВО С ОГРАНИЧЕННОЙ ОТВЕТСТВЕННОСТЬЮ "РИО ОЙЛ"</t>
  </si>
  <si>
    <t>9310008133</t>
  </si>
  <si>
    <t>1239300005856</t>
  </si>
  <si>
    <t>287524, ДОНЕЦКАЯ НАРОДНАЯ РЕСПУБЛИКА, МАРИУПОЛЬ, Г. МАРИУПОЛЬ, Г. МАРИУПОЛЬ, ПР-КТ ИЛЬИЧА, Д. 99</t>
  </si>
  <si>
    <t>ООО "САВОНА"</t>
  </si>
  <si>
    <t>ОБЩЕСТВО С ОГРАНИЧЕННОЙ ОТВЕТСТВЕННОСТЬЮ "САВОНА"</t>
  </si>
  <si>
    <t>9310008246</t>
  </si>
  <si>
    <t>1239300006131</t>
  </si>
  <si>
    <t>ООО "САМСОН"</t>
  </si>
  <si>
    <t>ОБЩЕСТВО С ОГРАНИЧЕННОЙ ОТВЕТСТВЕННОСТЬЮ "САМСОН"</t>
  </si>
  <si>
    <t>9310008052</t>
  </si>
  <si>
    <t>1239300005724</t>
  </si>
  <si>
    <t>ООО "СКФ"</t>
  </si>
  <si>
    <t>ОБЩЕСТВО С ОГРАНИЧЕННОЙ ОТВЕТСТВЕННОСТЬЮ "СКФ"</t>
  </si>
  <si>
    <t>9310008550</t>
  </si>
  <si>
    <t>1239300006945</t>
  </si>
  <si>
    <t>ДОНЕЦКАЯ НАРОДНАЯ РЕСПУБЛИКА, МАРИУПОЛЬ, Г. МАРИУПОЛЬ, Г. МАРИУПОЛЬ, ПЕР. ПУЛКОВСКИЙ, Д. 18</t>
  </si>
  <si>
    <t>ООО "СПЕЦ РЕМОНТ"</t>
  </si>
  <si>
    <t>ОБЩЕСТВО С ОГРАНИЧЕННОЙ ОТВЕТСТВЕННОСТЬЮ "СПЕЦ РЕМОНТ"</t>
  </si>
  <si>
    <t>9310008535</t>
  </si>
  <si>
    <t>1239300006802</t>
  </si>
  <si>
    <t>287504, ДОНЕЦКАЯ НАРОДНАЯ РЕСПУБЛИКА, МАРИУПОЛЬ, Г. МАРИУПОЛЬ, Г. МАРИУПОЛЬ, ПР-КТ ИЛЬИЧА, Д. 75А, ОФИС 11</t>
  </si>
  <si>
    <t>ООО "СЗ "СУ-2007"</t>
  </si>
  <si>
    <t>ОБЩЕСТВО С ОГРАНИЧЕННОЙ ОТВЕТСТВЕННОСТЬЮ "СПЕЦИАЛИЗИРОВАННЫЙ ЗАСТРОЙЩИК "СТРОИТЕЛЬНОЕ УПРАВЛЕНИЕ-2007"</t>
  </si>
  <si>
    <t>9310008599</t>
  </si>
  <si>
    <t>1239300007000</t>
  </si>
  <si>
    <t>ДОНЕЦКАЯ НАРОДНАЯ РЕСПУБЛИКА, МАРИУПОЛЬ, Г. МАРИУПОЛЬ, Г. МАРИУПОЛЬ, ПР-КТ МЕТАЛЛУРГОВ, Д. 87А, ПОМЕЩ. 7</t>
  </si>
  <si>
    <t>ООО "ТЭРА М"</t>
  </si>
  <si>
    <t>ОБЩЕСТВО С ОГРАНИЧЕННОЙ ОТВЕТСТВЕННОСТЬЮ "ТЭРА М"</t>
  </si>
  <si>
    <t>9310008408</t>
  </si>
  <si>
    <t>1239300006582</t>
  </si>
  <si>
    <t>287549, ДОНЕЦКАЯ НАРОДНАЯ РЕСПУБЛИКА, МАРИУПОЛЬ, Г. МАРИУПОЛЬ, Г. МАРИУПОЛЬ, ПР-КТ СТРОИТЕЛЕЙ, Д. 132</t>
  </si>
  <si>
    <t>ООО "ФИРМА "ПЕТРАНЭКОЛОГИЯ"</t>
  </si>
  <si>
    <t>ОБЩЕСТВО С ОГРАНИЧЕННОЙ ОТВЕТСТВЕННОСТЬЮ "ФИРМА "ПЕТРАНЭКОЛОГИЯ"</t>
  </si>
  <si>
    <t>9310008422</t>
  </si>
  <si>
    <t>1239300006659</t>
  </si>
  <si>
    <t>ООО "СТРОЙИНЖИНИРИНГ"</t>
  </si>
  <si>
    <t>ОБЩЕСТВО С ОГРАНИЧЕННОЙ ОТВЕТСТВЕННОСТЬЮ "СТРОЙИНЖИНИРИНГ"</t>
  </si>
  <si>
    <t>9310008366</t>
  </si>
  <si>
    <t>1239300006428</t>
  </si>
  <si>
    <t>ООО "ШЕЛЬФ"</t>
  </si>
  <si>
    <t>ОБЩЕСТВО С ОГРАНИЧЕННОЙ ОТВЕТСТВЕННОСТЬЮ "ШЕЛЬФ"</t>
  </si>
  <si>
    <t>9310008158</t>
  </si>
  <si>
    <t>1239300005966</t>
  </si>
  <si>
    <t>287549, ДОНЕЦКАЯ НАРОДНАЯ РЕСПУБЛИКА, МАРИУПОЛЬ, Г. МАРИУПОЛЬ, Г. МАРИУПОЛЬ, Б-Р ШЕВЧЕНКО, Д. 52</t>
  </si>
  <si>
    <t>ООО "ЭКОЛОГИЧЕСКИЕ ТЕХНОЛОГИИ"</t>
  </si>
  <si>
    <t>ОБЩЕСТВО С ОГРАНИЧЕННОЙ ОТВЕТСТВЕННОСТЬЮ "ЭКОЛОГИЧЕСКИЕ ТЕХНОЛОГИИ"</t>
  </si>
  <si>
    <t>9310008020</t>
  </si>
  <si>
    <t>1239300005658</t>
  </si>
  <si>
    <t>287642, ДОНЕЦКАЯ НАРОДНАЯ РЕСПУБЛИКА, МАРИУПОЛЬ, Г. МАРИУПОЛЬ, Г. МАРИУПОЛЬ, УЛ. МОРСКИХ ДЕСАНТНИКОВ, Д. 17/4</t>
  </si>
  <si>
    <t>ООО "ЮГ-СТРОЙ"</t>
  </si>
  <si>
    <t>ОБЩЕСТВО С ОГРАНИЧЕННОЙ ОТВЕТСТВЕННОСТЬЮ "ЮГ-СТРОЙ"</t>
  </si>
  <si>
    <t>9310008863</t>
  </si>
  <si>
    <t>1239300007451</t>
  </si>
  <si>
    <t>644048, ДОНЕЦКАЯ НАРОДНАЯ РЕСПУБЛИКА, МАРИУПОЛЬ, Г. МАРИУПОЛЬ, Г. МАРИУПОЛЬ, УЛ. СЕРОВА, Д. 1</t>
  </si>
  <si>
    <t>ООО ТД "ОЛЕАНДР"</t>
  </si>
  <si>
    <t>ОБЩЕСТВО С ОГРАНИЧЕННОЙ ОТВЕТСТВЕННОСТЬЮ ТОРГОВЫЙ ДОМ "ОЛЕАНДР"</t>
  </si>
  <si>
    <t>9310008655</t>
  </si>
  <si>
    <t>1239300007100</t>
  </si>
  <si>
    <t>ДОНЕЦКАЯ НАРОДНАЯ РЕСПУБЛИКА, МАРИУПОЛЬ, Г. МАРИУПОЛЬ, Г. МАРИУПОЛЬ, УЛ. КОМИНТЕРНА, Д. 38</t>
  </si>
  <si>
    <t>ПК "АС-ДЕЛЬФ"</t>
  </si>
  <si>
    <t>ПОТРЕБИТЕЛЬСКИЙ КООПЕРАТИВ "АС-ДЕЛЬФ"</t>
  </si>
  <si>
    <t>9310008447</t>
  </si>
  <si>
    <t>1239300006681</t>
  </si>
  <si>
    <t>287557, ДОНЕЦКАЯ НАРОДНАЯ РЕСПУБЛИКА, МАРИУПОЛЬ, Г. МАРИУПОЛЬ, Г. МАРИУПОЛЬ, УЛ. ОЛИМПИЙСКАЯ, Д. 189, КВ. 24</t>
  </si>
  <si>
    <t>РОО "ЦВДЗМ "КАСКАД" ДНР"</t>
  </si>
  <si>
    <t>РЕГИОНАЛЬНАЯ ОБЩЕСТВЕННАЯ ОРГАНИЗАЦИЯ "ЦЕНТР ВОСПИТАНИЯ ДЕТЕЙ И ЗАНЯТОСТИ МОЛОДЕЖИ "КАСКАД" ДОНЕЦКОЙ НАРОДНОЙ РЕСПУБЛИКИ"</t>
  </si>
  <si>
    <t>9310008341</t>
  </si>
  <si>
    <t>1239300006395</t>
  </si>
  <si>
    <t>ДОНЕЦКАЯ НАРОДНАЯ РЕСПУБЛИКА, МАРИУПОЛЬ, Г. МАРИУПОЛЬ, Г. МАРИУПОЛЬ, ПР-КТ ИЛЬИЧА, Д. 146</t>
  </si>
  <si>
    <t>СНТ "АВТОТРАНСПОРТНИК"</t>
  </si>
  <si>
    <t>САДОВОДЧЕСКОЕ НЕКОММЕРЧЕСКОЕ ТОВАРИЩЕСТВО "АВТОТРАНСПОРТНИК"</t>
  </si>
  <si>
    <t>9310008736</t>
  </si>
  <si>
    <t>1239300007198</t>
  </si>
  <si>
    <t>ДОНЕЦКАЯ НАРОДНАЯ РЕСПУБЛИКА, МАРИУПОЛЬ, Г. МАРИУПОЛЬ, Г. МАРИУПОЛЬ, УЛ. ГРОМОВОЙ, Д. 6А/29</t>
  </si>
  <si>
    <t>СНТ "АСТРА"</t>
  </si>
  <si>
    <t>САДОВОДЧЕСКОЕ НЕКОММЕРЧЕСКОЕ ТОВАРИЩЕСТВО "АСТРА"</t>
  </si>
  <si>
    <t>9310008616</t>
  </si>
  <si>
    <t>1239300007055</t>
  </si>
  <si>
    <t>СНТ "ЗАРЕЧНОЕ"</t>
  </si>
  <si>
    <t>САДОВОДЧЕСКОЕ НЕКОММЕРЧЕСКОЕ ТОВАРИЩЕСТВО "ЗАРЕЧНОЕ"</t>
  </si>
  <si>
    <t>9310008694</t>
  </si>
  <si>
    <t>1239300007154</t>
  </si>
  <si>
    <t>ДОНЕЦКАЯ НАРОДНАЯ РЕСПУБЛИКА, МАРИУПОЛЬ, Г. МАРИУПОЛЬ, Г. МАРИУПОЛЬ, УЛ. КАМЕНСКАЯ, Д. 61, КВ. 16</t>
  </si>
  <si>
    <t>СНТ "ИКАРУС"</t>
  </si>
  <si>
    <t>САДОВОДЧЕСКОЕ НЕКОММЕРЧЕСКОЕ ТОВАРИЩЕСТВО "ИКАРУС"</t>
  </si>
  <si>
    <t>9310008888</t>
  </si>
  <si>
    <t>1239300006593</t>
  </si>
  <si>
    <t>ДОНЕЦКАЯ НАРОДНАЯ РЕСПУБЛИКА, МАРИУПОЛЬ, Г. МАРИУПОЛЬ, Г. МАРИУПОЛЬ, ПР-КТ МЕТАЛЛУРГОВ, Д. 179, КВ. 132</t>
  </si>
  <si>
    <t>СНТ "КЛЕН"</t>
  </si>
  <si>
    <t>САДОВОДЧЕСКОЕ НЕКОММЕРЧЕСКОЕ ТОВАРИЩЕСТВО "КЛЕН"</t>
  </si>
  <si>
    <t>9310008493</t>
  </si>
  <si>
    <t>1239300006736</t>
  </si>
  <si>
    <t>287526, ДОНЕЦКАЯ НАРОДНАЯ РЕСПУБЛИКА, МАРИУПОЛЬ, Г. МАРИУПОЛЬ, Г. МАРИУПОЛЬ, УЛ. МЕЖЕВАЯ, Д. 19, КВ. 22</t>
  </si>
  <si>
    <t>СНТ "КОКСОХИМОВЕЦ"</t>
  </si>
  <si>
    <t>САДОВОДЧЕСКОЕ НЕКОММЕРЧЕСКОЕ ТОВАРИЩЕСТВО "КОКСОХИМОВЕЦ"</t>
  </si>
  <si>
    <t>9310008743</t>
  </si>
  <si>
    <t>1239300007209</t>
  </si>
  <si>
    <t>ДОНЕЦКАЯ НАРОДНАЯ РЕСПУБЛИКА, МАРИУПОЛЬ, Г. МАРИУПОЛЬ, Г. МАРИУПОЛЬ, УЛ. ТАЛАЛИХИНА, Д. 13</t>
  </si>
  <si>
    <t>СНТ"КОЛОС"</t>
  </si>
  <si>
    <t>САДОВОДЧЕСКОЕ НЕКОММЕРЧЕСКОЕ ТОВАРИЩЕСТВО "КОЛОС"</t>
  </si>
  <si>
    <t>9310008856</t>
  </si>
  <si>
    <t>1239300007429</t>
  </si>
  <si>
    <t>ДОНЕЦКАЯ НАРОДНАЯ РЕСПУБЛИКА, МАРИУПОЛЬ, Г. МАРИУПОЛЬ, Г. МАРИУПОЛЬ, УЛ. КОМИНТЕРНА, Д. 9, КВ. 4</t>
  </si>
  <si>
    <t>СНТ "МАЯК"</t>
  </si>
  <si>
    <t>САДОВОДЧЕСКОЕ НЕКОММЕРЧЕСКОЕ ТОВАРИЩЕСТВО "МАЯК"</t>
  </si>
  <si>
    <t>9310008750</t>
  </si>
  <si>
    <t>1239300007220</t>
  </si>
  <si>
    <t>СНТ "МЕТАЛЛИСТ"</t>
  </si>
  <si>
    <t>САДОВОДЧЕСКОЕ НЕКОММЕРЧЕСКОЕ ТОВАРИЩЕСТВО "МЕТАЛЛИСТ"</t>
  </si>
  <si>
    <t>9310008729</t>
  </si>
  <si>
    <t>1239300007187</t>
  </si>
  <si>
    <t>287524, ДОНЕЦКАЯ НАРОДНАЯ РЕСПУБЛИКА, МАРИУПОЛЬ, Г. МАРИУПОЛЬ, Г. МАРИУПОЛЬ, УЛ. СЕЧЕНОВА, Д. 62, КВ. 75</t>
  </si>
  <si>
    <t>СНТ "МИЧУРИНЕЦ"</t>
  </si>
  <si>
    <t>САДОВОДЧЕСКОЕ НЕКОММЕРЧЕСКОЕ ТОВАРИЩЕСТВО "МИЧУРИНЕЦ"</t>
  </si>
  <si>
    <t>9310008479</t>
  </si>
  <si>
    <t>1239300006714</t>
  </si>
  <si>
    <t>287552, ДОНЕЦКАЯ НАРОДНАЯ РЕСПУБЛИКА, МАРИУПОЛЬ, Г. МАРИУПОЛЬ, Г. МАРИУПОЛЬ, УЛ. ЯСНОПОЛЯНСКАЯ, Д. 22</t>
  </si>
  <si>
    <t>СНТ "ПОРТОВИК"</t>
  </si>
  <si>
    <t>САДОВОДЧЕСКОЕ НЕКОММЕРЧЕСКОЕ ТОВАРИЩЕСТВО "ПОРТОВИК"</t>
  </si>
  <si>
    <t>9310008768</t>
  </si>
  <si>
    <t>1239300007231</t>
  </si>
  <si>
    <t>СНТ "РАДУГА"</t>
  </si>
  <si>
    <t>САДОВОДЧЕСКОЕ НЕКОММЕРЧЕСКОЕ ТОВАРИЩЕСТВО "РАДУГА"</t>
  </si>
  <si>
    <t>9310008824</t>
  </si>
  <si>
    <t>1239300007352</t>
  </si>
  <si>
    <t>287549, ДОНЕЦКАЯ НАРОДНАЯ РЕСПУБЛИКА, МАРИУПОЛЬ, Г. МАРИУПОЛЬ, Г. МАРИУПОЛЬ, ПР-КТ МЕТАЛЛУРГОВ, Д. 133А, КВ. 26</t>
  </si>
  <si>
    <t>СНТ "СВЕТЛАНА"</t>
  </si>
  <si>
    <t>САДОВОДЧЕСКОЕ НЕКОММЕРЧЕСКОЕ ТОВАРИЩЕСТВО "СВЕТЛАНА"</t>
  </si>
  <si>
    <t>9310008711</t>
  </si>
  <si>
    <t>1239300007176</t>
  </si>
  <si>
    <t>ДОНЕЦКАЯ НАРОДНАЯ РЕСПУБЛИКА, МАРИУПОЛЬ, Г. МАРИУПОЛЬ, Г. МАРИУПОЛЬ, ПР-КТ НАХИМОВА, Д. 62, КВ. 16</t>
  </si>
  <si>
    <t>СНТ "СПУТНИК"</t>
  </si>
  <si>
    <t>САДОВОДЧЕСКОЕ НЕКОММЕРЧЕСКОЕ ТОВАРИЩЕСТВО "СПУТНИК"</t>
  </si>
  <si>
    <t>9310008486</t>
  </si>
  <si>
    <t>1239300006725</t>
  </si>
  <si>
    <t>ДОНЕЦКАЯ НАРОДНАЯ РЕСПУБЛИКА, МАРИУПОЛЬ, Г. МАРИУПОЛЬ, Г. МАРИУПОЛЬ, УЛ. КАФФАЙСКАЯ, Д. 5</t>
  </si>
  <si>
    <t>СНТ "ЧАЙКА"</t>
  </si>
  <si>
    <t>САДОВОДЧЕСКОЕ НЕКОММЕРЧЕСКОЕ ТОВАРИЩЕСТВО "ЧАЙКА"</t>
  </si>
  <si>
    <t>9310008398</t>
  </si>
  <si>
    <t>1239300006560</t>
  </si>
  <si>
    <t>287501, ДОНЕЦКАЯ НАРОДНАЯ РЕСПУБЛИКА, МАРИУПОЛЬ, Г. МАРИУПОЛЬ, Г. МАРИУПОЛЬ, УЛ. ХАРЛАМПИЕВСКАЯ, Д. 15, КВ. 3</t>
  </si>
  <si>
    <t>СНТ "ШВЕЙНИК"</t>
  </si>
  <si>
    <t>САДОВОДЧЕСКОЕ НЕКОММЕРЧЕСКОЕ ТОВАРИЩЕСТВО "ШВЕЙНИК"</t>
  </si>
  <si>
    <t>9310008849</t>
  </si>
  <si>
    <t>1239300007418</t>
  </si>
  <si>
    <t>287557, ДОНЕЦКАЯ НАРОДНАЯ РЕСПУБЛИКА, МАРИУПОЛЬ, Г. МАРИУПОЛЬ, Г. МАРИУПОЛЬ, УЛ. БЕСТУЖЕВА, Д. 4</t>
  </si>
  <si>
    <t>СНТ "ЭКСПРЕСС"</t>
  </si>
  <si>
    <t>САДОВОДЧЕСКОЕ НЕКОММЕРЧЕСКОЕ ТОВАРИЩЕСТВО "ЭКСПРЕСС"</t>
  </si>
  <si>
    <t>9310007771</t>
  </si>
  <si>
    <t>1239300005020</t>
  </si>
  <si>
    <t>287554, ДОНЕЦКАЯ НАРОДНАЯ РЕСПУБЛИКА, МАРИУПОЛЬ, Г. МАРИУПОЛЬ, Г. МАРИУПОЛЬ, УЛ. УРИЦКОГО, Д. 90, КВ. 135</t>
  </si>
  <si>
    <t>СНТСН "ТИМИРЯЗИВЕЦ"</t>
  </si>
  <si>
    <t>САДОВОДЧЕСКОЕ НЕКОММЕРЧЕСКОЕ ТОВАРИЩЕСТВО СОБСТВЕННИКОВ НЕДВИЖИМОСТИ "ТИМИРЯЗИВЕЦ"</t>
  </si>
  <si>
    <t>9310008920</t>
  </si>
  <si>
    <t>1239300007616</t>
  </si>
  <si>
    <t>287510, ДОНЕЦКАЯ НАРОДНАЯ РЕСПУБЛИКА, МАРИУПОЛЬ, Г. МАРИУПОЛЬ, Г. МАРИУПОЛЬ, ПР-КТ СТРОИТЕЛЕЙ, Д. 56, КВ. 106Б</t>
  </si>
  <si>
    <t>АПК "АВТОЛЮБИТЕЛЬ-5"</t>
  </si>
  <si>
    <t>АВТОГАРАЖНЫЙ ПОТРЕБИТЕЛЬСКИЙ КООПЕРАТИВ "АВТОЛЮБИТЕЛЬ-5"</t>
  </si>
  <si>
    <t>9310009049</t>
  </si>
  <si>
    <t>1239300008100</t>
  </si>
  <si>
    <t>287557, ДОНЕЦКАЯ НАРОДНАЯ РЕСПУБЛИКА, МАРИУПОЛЬ, Г. МАРИУПОЛЬ, Г. МАРИУПОЛЬ, УЛ. РОВЕНСКАЯ, Д. 17, КВ. 4</t>
  </si>
  <si>
    <t>АПК "НЕЖЕНСКИЙ"</t>
  </si>
  <si>
    <t>АВТОГАРАЖНЫЙ ПОТРЕБИТЕЛЬСКИЙ КООПЕРАТИВ "НЕЖЕНСКИЙ"</t>
  </si>
  <si>
    <t>9310009602</t>
  </si>
  <si>
    <t>1239300009728</t>
  </si>
  <si>
    <t>ДОНЕЦКАЯ НАРОДНАЯ РЕСПУБЛИКА, МАРИУПОЛЬ, Г. МАРИУПОЛЬ, Г. МАРИУПОЛЬ, УЛ. 9 МАЯ, Д. 5, КВ. 25</t>
  </si>
  <si>
    <t>ГК "КРИСТАЛЛ"</t>
  </si>
  <si>
    <t>ГАРАЖНЫЙ КООПЕРАТИВ "КРИСТАЛЛ"</t>
  </si>
  <si>
    <t>9310009578</t>
  </si>
  <si>
    <t>1239300009673</t>
  </si>
  <si>
    <t>ГК "СПРИНТЕР"</t>
  </si>
  <si>
    <t>ГАРАЖНЫЙ КООПЕРАТИВ "СПРИНТЕР"</t>
  </si>
  <si>
    <t>9310009465</t>
  </si>
  <si>
    <t>1239300009321</t>
  </si>
  <si>
    <t>ДОНЕЦКАЯ НАРОДНАЯ РЕСПУБЛИКА, МАРИУПОЛЬ, Г. МАРИУПОЛЬ, Г. МАРИУПОЛЬ, ПР-КТ МАРШАЛА ЖУКОВА, Д. 94</t>
  </si>
  <si>
    <t>ГПК "АВТОМОБИЛИСТ ЛЕВОБЕРЕЖНЫЙ"</t>
  </si>
  <si>
    <t>ГАРАЖНЫЙ ПОТРЕБИТЕЛЬСКИЙ КООПЕРАТИВ "АВТОМОБИЛИСТ ЛЕВОБЕРЕЖНЫЙ"</t>
  </si>
  <si>
    <t>9310009296</t>
  </si>
  <si>
    <t>1239300008958</t>
  </si>
  <si>
    <t>287510, ДОНЕЦКАЯ НАРОДНАЯ РЕСПУБЛИКА, МАРИУПОЛЬ, Г. МАРИУПОЛЬ, Г. МАРИУПОЛЬ, ПР-КТ СТРОИТЕЛЕЙ, Д. 3, КВ. 10</t>
  </si>
  <si>
    <t>МОО "ФС Г. МАРИУПОЛЯ"</t>
  </si>
  <si>
    <t>МЕСТНАЯ ОБЩЕСТВЕННАЯ ОРГАНИЗАЦИЯ "ФЕДЕРАЦИЯ САМБО ГОРОДА МАРИУПОЛЯ"</t>
  </si>
  <si>
    <t>9310009401</t>
  </si>
  <si>
    <t>1239300009156</t>
  </si>
  <si>
    <t>ДОНЕЦКАЯ НАРОДНАЯ РЕСПУБЛИКА, МАРИУПОЛЬ, Г. МАРИУПОЛЬ, Г. МАРИУПОЛЬ, УЛ. МЕНЖИНСКОГО, Д. 2А</t>
  </si>
  <si>
    <t>ОО МНКА ГРЕКОВ Г. МАРИУПОЛЯ</t>
  </si>
  <si>
    <t>ОБЩЕСТВЕННАЯ ОРГАНИЗАЦИЯ МЕСТНАЯ НАЦИОНАЛЬНО-КУЛЬТУРНАЯ АВТОНОМИЯ ГРЕКОВ ГОРОДА МАРИУПОЛЯ</t>
  </si>
  <si>
    <t>9310009306</t>
  </si>
  <si>
    <t>1239300008991</t>
  </si>
  <si>
    <t>ДОНЕЦКАЯ НАРОДНАЯ РЕСПУБЛИКА, МАРИУПОЛЬ, Г. МАРИУПОЛЬ, Г. МАРИУПОЛЬ, ПР-КТ МЕТАЛЛУРГОВ, Д. 156, КВ. 50</t>
  </si>
  <si>
    <t>ООО "МАРКЕТ СИТИ"</t>
  </si>
  <si>
    <t>ОБЩЕСТВО С ОГРАНИЧЕННОЙ ОТВЕТСТВЕННОСТЬЮ  "МАРКЕТ СИТИ"</t>
  </si>
  <si>
    <t>9310009472</t>
  </si>
  <si>
    <t>1239300009387</t>
  </si>
  <si>
    <t>ДОНЕЦКАЯ НАРОДНАЯ РЕСПУБЛИКА, МАРИУПОЛЬ, Г. МАРИУПОЛЬ, Г. МАРИУПОЛЬ, УЛ. КАЛЬЧАНСКАЯ, Д. 16</t>
  </si>
  <si>
    <t>ООО "ПФ "СТАНДАРТ"</t>
  </si>
  <si>
    <t>ОБЩЕСТВО С ОГРАНИЧЕННОЙ ОТВЕТСТВЕННОСТЬЮ  "ПРОИЗВОДСТВЕННАЯ ФИРМА "СТАНДАРТ"</t>
  </si>
  <si>
    <t>9310009151</t>
  </si>
  <si>
    <t>1239300008529</t>
  </si>
  <si>
    <t>ДОНЕЦКАЯ НАРОДНАЯ РЕСПУБЛИКА, МАРИУПОЛЬ, Г. МАРИУПОЛЬ, Г. МАРИУПОЛЬ, УЛ. ПРЖЕВАЛЬСКОГО, Д. 9</t>
  </si>
  <si>
    <t>ООО "АГРО ПРАЙД"</t>
  </si>
  <si>
    <t>ОБЩЕСТВО С ОГРАНИЧЕННОЙ ОТВЕТСТВЕННОСТЬЮ "АГРО ПРАЙД"</t>
  </si>
  <si>
    <t>9310009507</t>
  </si>
  <si>
    <t>1239300009486</t>
  </si>
  <si>
    <t>287526, ДОНЕЦКАЯ НАРОДНАЯ РЕСПУБЛИКА, МАРИУПОЛЬ, Г. МАРИУПОЛЬ, Г. МАРИУПОЛЬ, ПР-КТ ПОБЕДЫ, Д. 107/21, КВ. 128</t>
  </si>
  <si>
    <t>ООО "АЛЕКС-К"</t>
  </si>
  <si>
    <t>ОБЩЕСТВО С ОГРАНИЧЕННОЙ ОТВЕТСТВЕННОСТЬЮ "АЛЕКС-К"</t>
  </si>
  <si>
    <t>9310009112</t>
  </si>
  <si>
    <t>1239300008232</t>
  </si>
  <si>
    <t>ДОНЕЦКАЯ НАРОДНАЯ РЕСПУБЛИКА, МАРИУПОЛЬ, Г. МАРИУПОЛЬ, Г. МАРИУПОЛЬ, ПР-КТ ИЛЬИЧА, Д. 63</t>
  </si>
  <si>
    <t>ООО "АЛКОМАГ"</t>
  </si>
  <si>
    <t>ОБЩЕСТВО С ОГРАНИЧЕННОЙ ОТВЕТСТВЕННОСТЬЮ "АЛКОМАГ"</t>
  </si>
  <si>
    <t>9310009585</t>
  </si>
  <si>
    <t>1239300009695</t>
  </si>
  <si>
    <t>287537, ДОНЕЦКАЯ НАРОДНАЯ РЕСПУБЛИКА, МАРИУПОЛЬ, Г. МАРИУПОЛЬ, Г. МАРИУПОЛЬ, УЛ. ЗЕЛИНСКОГО, Д. 100А, ПОМЕЩ. 1</t>
  </si>
  <si>
    <t>ООО "АЛЬЯНС"</t>
  </si>
  <si>
    <t>ОБЩЕСТВО С ОГРАНИЧЕННОЙ ОТВЕТСТВЕННОСТЬЮ "АЛЬЯНС"</t>
  </si>
  <si>
    <t>9310009345</t>
  </si>
  <si>
    <t>1239300009068</t>
  </si>
  <si>
    <t>ООО "АПТЕКА №228"</t>
  </si>
  <si>
    <t>ОБЩЕСТВО С ОГРАНИЧЕННОЙ ОТВЕТСТВЕННОСТЬЮ "АПТЕКА №228"</t>
  </si>
  <si>
    <t>9310009031</t>
  </si>
  <si>
    <t>1239300008012</t>
  </si>
  <si>
    <t>287552, ДОНЕЦКАЯ НАРОДНАЯ РЕСПУБЛИКА, МАРИУПОЛЬ, Г. МАРИУПОЛЬ, Г. МАРИУПОЛЬ, УЛ. КОЗЛОВА, Д. 102А</t>
  </si>
  <si>
    <t>ООО "ВИТАФАРМ"</t>
  </si>
  <si>
    <t>ОБЩЕСТВО С ОГРАНИЧЕННОЙ ОТВЕТСТВЕННОСТЬЮ "ВИТАФАРМ"</t>
  </si>
  <si>
    <t>9310009218</t>
  </si>
  <si>
    <t>1239300008738</t>
  </si>
  <si>
    <t>ДОНЕЦКАЯ НАРОДНАЯ РЕСПУБЛИКА, МАРИУПОЛЬ, Г. МАРИУПОЛЬ, Г. МАРИУПОЛЬ, УЛ. ЛУНИНА, Д. 29</t>
  </si>
  <si>
    <t>ООО "ВИТЯЗЬ"</t>
  </si>
  <si>
    <t>ОБЩЕСТВО С ОГРАНИЧЕННОЙ ОТВЕТСТВЕННОСТЬЮ "ВИТЯЗЬ"</t>
  </si>
  <si>
    <t>9310009225</t>
  </si>
  <si>
    <t>1239300008750</t>
  </si>
  <si>
    <t>287501, ДОНЕЦКАЯ НАРОДНАЯ РЕСПУБЛИКА, МАРИУПОЛЬ, Г. МАРИУПОЛЬ, Г. МАРИУПОЛЬ, УЛ. ХАРЛАМПИЕВСКАЯ, Д. 15</t>
  </si>
  <si>
    <t>ООО "ВЛАДСЕР 2023"</t>
  </si>
  <si>
    <t>ОБЩЕСТВО С ОГРАНИЧЕННОЙ ОТВЕТСТВЕННОСТЬЮ "ВЛАДСЕР 2023"</t>
  </si>
  <si>
    <t>9310009183</t>
  </si>
  <si>
    <t>1239300008639</t>
  </si>
  <si>
    <t>ДОНЕЦКАЯ НАРОДНАЯ РЕСПУБЛИКА, МАРИУПОЛЬ, Г. МАРИУПОЛЬ, Г. МАРИУПОЛЬ, ПР-КТ МЕТАЛЛУРГОВ, Д. 98А, ПОМЕЩ. 1</t>
  </si>
  <si>
    <t>ООО "ВОСТОЧНЫЙ"</t>
  </si>
  <si>
    <t>ОБЩЕСТВО С ОГРАНИЧЕННОЙ ОТВЕТСТВЕННОСТЬЮ "ВОСТОЧНЫЙ"</t>
  </si>
  <si>
    <t>9310009000</t>
  </si>
  <si>
    <t>1239300007869</t>
  </si>
  <si>
    <t>287541, ДОНЕЦКАЯ НАРОДНАЯ РЕСПУБЛИКА, МАРИУПОЛЬ, Г. МАРИУПОЛЬ, Г. МАРИУПОЛЬ, ПР-КТ ПОБЕДЫ, Д. 58/34, КВ. 17</t>
  </si>
  <si>
    <t>ООО "ГЛОБАЛ КОНСАЛТИНГ"</t>
  </si>
  <si>
    <t>ОБЩЕСТВО С ОГРАНИЧЕННОЙ ОТВЕТСТВЕННОСТЬЮ "ГЛОБАЛ КОНСАЛТИНГ"</t>
  </si>
  <si>
    <t>9310009063</t>
  </si>
  <si>
    <t>1239300008144</t>
  </si>
  <si>
    <t>287510, ДОНЕЦКАЯ НАРОДНАЯ РЕСПУБЛИКА, МАРИУПОЛЬ, Г. МАРИУПОЛЬ, Г. МАРИУПОЛЬ, ПР-КТ СТРОИТЕЛЕЙ, Д. 32, КВ. 2</t>
  </si>
  <si>
    <t>ООО "ДЕЛИКАТЕС"</t>
  </si>
  <si>
    <t>ОБЩЕСТВО С ОГРАНИЧЕННОЙ ОТВЕТСТВЕННОСТЬЮ "ДЕЛИКАТЕС"</t>
  </si>
  <si>
    <t>9310009338</t>
  </si>
  <si>
    <t>1239300009057</t>
  </si>
  <si>
    <t>ДОНЕЦКАЯ НАРОДНАЯ РЕСПУБЛИКА, МАРИУПОЛЬ, Г. МАРИУПОЛЬ, Г. МАРИУПОЛЬ, УЛ. КИЕВСКАЯ, Д. 33А</t>
  </si>
  <si>
    <t>ООО "ДОННИСТРОЙ"</t>
  </si>
  <si>
    <t>ОБЩЕСТВО С ОГРАНИЧЕННОЙ ОТВЕТСТВЕННОСТЬЮ "ДОННИСТРОЙ"</t>
  </si>
  <si>
    <t>9310009426</t>
  </si>
  <si>
    <t>1239300009200</t>
  </si>
  <si>
    <t>287504, ДОНЕЦКАЯ НАРОДНАЯ РЕСПУБЛИКА, МАРИУПОЛЬ, Г. МАРИУПОЛЬ, Г. МАРИУПОЛЬ, УЛ. ЛЕВЧЕНКО, Д. 28</t>
  </si>
  <si>
    <t>ООО "ЖЕМЧУЖНЫЙ"</t>
  </si>
  <si>
    <t>ОБЩЕСТВО С ОГРАНИЧЕННОЙ ОТВЕТСТВЕННОСТЬЮ "ЖЕМЧУЖНЫЙ"</t>
  </si>
  <si>
    <t>9310009095</t>
  </si>
  <si>
    <t>1239300008200</t>
  </si>
  <si>
    <t>287526, ДОНЕЦКАЯ НАРОДНАЯ РЕСПУБЛИКА, МАРИУПОЛЬ, Г. МАРИУПОЛЬ, Г. МАРИУПОЛЬ, УЛ. 130 ТАГАНРОГСКОЙ ДИВИЗИИ, Д. 5</t>
  </si>
  <si>
    <t>ООО "ИМХОТЕП"</t>
  </si>
  <si>
    <t>ОБЩЕСТВО С ОГРАНИЧЕННОЙ ОТВЕТСТВЕННОСТЬЮ "ИМХОТЕП"</t>
  </si>
  <si>
    <t>9310009190</t>
  </si>
  <si>
    <t>1239300008640</t>
  </si>
  <si>
    <t>287537, ДОНЕЦКАЯ НАРОДНАЯ РЕСПУБЛИКА, МАРИУПОЛЬ, Г. МАРИУПОЛЬ, Г. МАРИУПОЛЬ, УЛ. МАТРОСОВА, Д. 1</t>
  </si>
  <si>
    <t>ООО "ИНВЕСТ ДОНБАСС"</t>
  </si>
  <si>
    <t>ОБЩЕСТВО С ОГРАНИЧЕННОЙ ОТВЕТСТВЕННОСТЬЮ "ИНВЕСТ ДОНБАСС"</t>
  </si>
  <si>
    <t>9310009546</t>
  </si>
  <si>
    <t>1239300009574</t>
  </si>
  <si>
    <t>ДОНЕЦКАЯ НАРОДНАЯ РЕСПУБЛИКА, МАРИУПОЛЬ, Г. МАРИУПОЛЬ, Г. МАРИУПОЛЬ, УЛ. ТОПОЛИНАЯ, Д. 14</t>
  </si>
  <si>
    <t>ООО "ИНЖЕНЕРИНГ+"</t>
  </si>
  <si>
    <t>ОБЩЕСТВО С ОГРАНИЧЕННОЙ ОТВЕТСТВЕННОСТЬЮ "ИНЖЕНЕРИНГ+"</t>
  </si>
  <si>
    <t>9310009240</t>
  </si>
  <si>
    <t>1239300008782</t>
  </si>
  <si>
    <t>ООО "КИПАРИС"</t>
  </si>
  <si>
    <t>ОБЩЕСТВО С ОГРАНИЧЕННОЙ ОТВЕТСТВЕННОСТЬЮ "КИПАРИС"</t>
  </si>
  <si>
    <t>9310009169</t>
  </si>
  <si>
    <t>1239300008530</t>
  </si>
  <si>
    <t>ДОНЕЦКАЯ НАРОДНАЯ РЕСПУБЛИКА, МАРИУПОЛЬ, Г. МАРИУПОЛЬ, Г. МАРИУПОЛЬ, УЛ. КИЕВСКАЯ, Д. 60</t>
  </si>
  <si>
    <t>ООО "КОБРА"</t>
  </si>
  <si>
    <t>ОБЩЕСТВО С ОГРАНИЧЕННОЙ ОТВЕТСТВЕННОСТЬЮ "КОБРА"</t>
  </si>
  <si>
    <t>9310009232</t>
  </si>
  <si>
    <t>1239300008771</t>
  </si>
  <si>
    <t>ООО "ЛИКФАРМ"</t>
  </si>
  <si>
    <t>ОБЩЕСТВО С ОГРАНИЧЕННОЙ ОТВЕТСТВЕННОСТЬЮ "ЛИКФАРМ"</t>
  </si>
  <si>
    <t>9310009088</t>
  </si>
  <si>
    <t>1239300008199</t>
  </si>
  <si>
    <t>287537, ДОНЕЦКАЯ НАРОДНАЯ РЕСПУБЛИКА, МАРИУПОЛЬ, Г. МАРИУПОЛЬ, Г. МАРИУПОЛЬ, ПР-КТ СТРОИТЕЛЕЙ, Д. 144, ПОМЕЩ. 2</t>
  </si>
  <si>
    <t>ООО "ЛЮКС-МАРКЕТИНГ"</t>
  </si>
  <si>
    <t>ОБЩЕСТВО С ОГРАНИЧЕННОЙ ОТВЕТСТВЕННОСТЬЮ "ЛЮКС-МАРКЕТИНГ"</t>
  </si>
  <si>
    <t>9310009419</t>
  </si>
  <si>
    <t>1239300009167</t>
  </si>
  <si>
    <t>ООО "ЭКСПО ГРУПП"</t>
  </si>
  <si>
    <t>ОБЩЕСТВО С ОГРАНИЧЕННОЙ ОТВЕТСТВЕННОСТЬЮ "ЭКСПО ГРУПП"</t>
  </si>
  <si>
    <t>9310009497</t>
  </si>
  <si>
    <t>1239300009453</t>
  </si>
  <si>
    <t>287512, ДОНЕЦКАЯ НАРОДНАЯ РЕСПУБЛИКА, МАРИУПОЛЬ, Г. МАРИУПОЛЬ, Г. МАРИУПОЛЬ, Ш. ВОЛОДАРСКОЕ, Д. 1, ПОМЕЩ. 11</t>
  </si>
  <si>
    <t>ООО "МАРКЕТАНТ"</t>
  </si>
  <si>
    <t>ОБЩЕСТВО С ОГРАНИЧЕННОЙ ОТВЕТСТВЕННОСТЬЮ "МАРКЕТАНТ"</t>
  </si>
  <si>
    <t>9310009320</t>
  </si>
  <si>
    <t>1239300009046</t>
  </si>
  <si>
    <t>287524, ДОНЕЦКАЯ НАРОДНАЯ РЕСПУБЛИКА, МАРИУПОЛЬ, Г. МАРИУПОЛЬ, Г. МАРИУПОЛЬ, УЛ. СЕЧЕНОВА, Д. 90, КВ. 27</t>
  </si>
  <si>
    <t>ООО "МЕГА ПЛЮС"</t>
  </si>
  <si>
    <t>ОБЩЕСТВО С ОГРАНИЧЕННОЙ ОТВЕТСТВЕННОСТЬЮ "МЕГА ПЛЮС"</t>
  </si>
  <si>
    <t>9310009592</t>
  </si>
  <si>
    <t>1239300009706</t>
  </si>
  <si>
    <t>ДОНЕЦКАЯ НАРОДНАЯ РЕСПУБЛИКА, МАРИУПОЛЬ, Г. МАРИУПОЛЬ, Г. МАРИУПОЛЬ, УЛ. НИКОЛАЕВСКАЯ, Д. 96А</t>
  </si>
  <si>
    <t>ООО "НОРМА 32"</t>
  </si>
  <si>
    <t>ОБЩЕСТВО С ОГРАНИЧЕННОЙ ОТВЕТСТВЕННОСТЬЮ "НОРМА 32"</t>
  </si>
  <si>
    <t>9310009521</t>
  </si>
  <si>
    <t>1239300009508</t>
  </si>
  <si>
    <t>ДОНЕЦКАЯ НАРОДНАЯ РЕСПУБЛИКА, МАРИУПОЛЬ, Г. МАРИУПОЛЬ, Г. МАРИУПОЛЬ, ПЕР. ЗЕЛИНСКОГО, Д. 38</t>
  </si>
  <si>
    <t>ООО "ПРОДУКТСЕРВИС"</t>
  </si>
  <si>
    <t>ОБЩЕСТВО С ОГРАНИЧЕННОЙ ОТВЕТСТВЕННОСТЬЮ "ПРОДУКТСЕРВИС"</t>
  </si>
  <si>
    <t>9310008969</t>
  </si>
  <si>
    <t>1239300007760</t>
  </si>
  <si>
    <t>ДОНЕЦКАЯ НАРОДНАЯ РЕСПУБЛИКА, МАРИУПОЛЬ, Г. МАРИУПОЛЬ, Г. МАРИУПОЛЬ, УЛ. ОЛИМПИЙСКАЯ, Д. 106</t>
  </si>
  <si>
    <t>ООО "СОМЕЛЬЕ"</t>
  </si>
  <si>
    <t>ОБЩЕСТВО С ОГРАНИЧЕННОЙ ОТВЕТСТВЕННОСТЬЮ "СОМЕЛЬЕ"</t>
  </si>
  <si>
    <t>9310008990</t>
  </si>
  <si>
    <t>1239300007858</t>
  </si>
  <si>
    <t>ДОНЕЦКАЯ НАРОДНАЯ РЕСПУБЛИКА, МАРИУПОЛЬ, Г. МАРИУПОЛЬ, Г. МАРИУПОЛЬ, УЛ. ЗВЕЗДНАЯ, Д. 68А</t>
  </si>
  <si>
    <t>ООО "СЗ-1 "ПОРФИР"</t>
  </si>
  <si>
    <t>ОБЩЕСТВО С ОГРАНИЧЕННОЙ ОТВЕТСТВЕННОСТЬЮ "СПЕЦИАЛИЗИРОВАННЫЙ ЗАСТРОЙЩИК-1 "ПОРФИР"</t>
  </si>
  <si>
    <t>9310009271</t>
  </si>
  <si>
    <t>1239300008870</t>
  </si>
  <si>
    <t>ДОНЕЦКАЯ НАРОДНАЯ РЕСПУБЛИКА, МАРИУПОЛЬ, Г. МАРИУПОЛЬ, Г. МАРИУПОЛЬ, ПЕР. ЧЕРНОМОРСКИЙ, Д. 1Б, ПОМЕЩ. 1</t>
  </si>
  <si>
    <t>ООО "СЗ "ГСА ДЕВЕЛОПМЕНТ"</t>
  </si>
  <si>
    <t>ОБЩЕСТВО С ОГРАНИЧЕННОЙ ОТВЕТСТВЕННОСТЬЮ "СПЕЦИАЛИЗИРОВАННЫЙ ЗАСТРОЙЩИК "ГСА ДЕВЕЛОПМЕНТ"</t>
  </si>
  <si>
    <t>9310009539</t>
  </si>
  <si>
    <t>1239300009530</t>
  </si>
  <si>
    <t>287554, ДОНЕЦКАЯ НАРОДНАЯ РЕСПУБЛИКА, МАРИУПОЛЬ, Г. МАРИУПОЛЬ, Г. МАРИУПОЛЬ, ПР-КТ СТРОИТЕЛЕЙ, Д. 166, ПОМЕЩ. 134</t>
  </si>
  <si>
    <t>ООО "СК "А-ДЕНТ"</t>
  </si>
  <si>
    <t>ОБЩЕСТВО С ОГРАНИЧЕННОЙ ОТВЕТСТВЕННОСТЬЮ "СТОМАТОЛОГИЧЕСКАЯ КЛИНИКА "А-ДЕНТ"</t>
  </si>
  <si>
    <t>9310009360</t>
  </si>
  <si>
    <t>1239300009090</t>
  </si>
  <si>
    <t>287549, ДОНЕЦКАЯ НАРОДНАЯ РЕСПУБЛИКА, МАРИУПОЛЬ, Г. МАРИУПОЛЬ, Г. МАРИУПОЛЬ, Б-Р ШЕВЧЕНКО, Д. 315А</t>
  </si>
  <si>
    <t>ООО "ТРАНС-АРТА"</t>
  </si>
  <si>
    <t>ОБЩЕСТВО С ОГРАНИЧЕННОЙ ОТВЕТСТВЕННОСТЬЮ "ТРАНС-АРТА"</t>
  </si>
  <si>
    <t>9310009105</t>
  </si>
  <si>
    <t>1239300008210</t>
  </si>
  <si>
    <t>ООО "ФИРМА 4 Х 4"</t>
  </si>
  <si>
    <t>ОБЩЕСТВО С ОГРАНИЧЕННОЙ ОТВЕТСТВЕННОСТЬЮ "ФИРМА 4 Х 4"</t>
  </si>
  <si>
    <t>9310009391</t>
  </si>
  <si>
    <t>1239300009145</t>
  </si>
  <si>
    <t>287501, ДОНЕЦКАЯ НАРОДНАЯ РЕСПУБЛИКА, МАРИУПОЛЬ, Г. МАРИУПОЛЬ, Г. МАРИУПОЛЬ, Б-Р БОГДАНА ХМЕЛЬНИЦКОГО, Д. 18, КВ. 22</t>
  </si>
  <si>
    <t>ООО "ЦЕНТР "ЛИНДА-МУЛЬЕР"</t>
  </si>
  <si>
    <t>ОБЩЕСТВО С ОГРАНИЧЕННОЙ ОТВЕТСТВЕННОСТЬЮ "ЦЕНТР "ЛИНДА-МУЛЬЕР"</t>
  </si>
  <si>
    <t>9310009144</t>
  </si>
  <si>
    <t>1239300008518</t>
  </si>
  <si>
    <t>ДОНЕЦКАЯ НАРОДНАЯ РЕСПУБЛИКА, МАРИУПОЛЬ, Г. МАРИУПОЛЬ, Г. МАРИУПОЛЬ, УЛ. ОЛИМПИЙСКАЯ, Д. 296</t>
  </si>
  <si>
    <t>ООО "ШАХЕРЕЗАДА"</t>
  </si>
  <si>
    <t>ОБЩЕСТВО С ОГРАНИЧЕННОЙ ОТВЕТСТВЕННОСТЬЮ "ШАХЕРЕЗАДА"</t>
  </si>
  <si>
    <t>9310009377</t>
  </si>
  <si>
    <t>1239300009112</t>
  </si>
  <si>
    <t>ДОНЕЦКАЯ НАРОДНАЯ РЕСПУБЛИКА, МАРИУПОЛЬ, Г. МАРИУПОЛЬ, Г. МАРИУПОЛЬ, Б-Р 50 ЛЕТ ОКТЯБРЯ, Д. 32/18</t>
  </si>
  <si>
    <t>ООО "ЭТТА-СВ"</t>
  </si>
  <si>
    <t>ОБЩЕСТВО С ОГРАНИЧЕННОЙ ОТВЕТСТВЕННОСТЬЮ "ЭТТА-СВ"</t>
  </si>
  <si>
    <t>9310008983</t>
  </si>
  <si>
    <t>1239300007814</t>
  </si>
  <si>
    <t>287501, ДОНЕЦКАЯ НАРОДНАЯ РЕСПУБЛИКА, МАРИУПОЛЬ, Г. МАРИУПОЛЬ, Г. МАРИУПОЛЬ, Б-Р ПРИМОРСКИЙ, Д. 27</t>
  </si>
  <si>
    <t>ООО "ЮГ РЕМ-КОМ"</t>
  </si>
  <si>
    <t>ОБЩЕСТВО С ОГРАНИЧЕННОЙ ОТВЕТСТВЕННОСТЬЮ "ЮГ РЕМ-КОМ"</t>
  </si>
  <si>
    <t>9310009352</t>
  </si>
  <si>
    <t>1239300009079</t>
  </si>
  <si>
    <t>ДОНЕЦКАЯ НАРОДНАЯ РЕСПУБЛИКА, МАРИУПОЛЬ, Г. МАРИУПОЛЬ, Г. МАРИУПОЛЬ, ПР-КТ ПОБЕДЫ, Д. 86, ПОМЕЩ. 61</t>
  </si>
  <si>
    <t>ООО ПК "СТРОЙВОДОКАНАЛ"</t>
  </si>
  <si>
    <t>ОБЩЕСТВО С ОГРАНИЧЕННОЙ ОТВЕТСТВЕННОСТЬЮ ПРОИЗВОДСТВЕННАЯ КОМПАНИЯ "СТРОЙВОДОКАНАЛ"</t>
  </si>
  <si>
    <t>9310009017</t>
  </si>
  <si>
    <t>1239300007946</t>
  </si>
  <si>
    <t>287513, ДОНЕЦКАЯ НАРОДНАЯ РЕСПУБЛИКА, МАРИУПОЛЬ, Г. МАРИУПОЛЬ, Г. МАРИУПОЛЬ, КВ-Л 25, Д. 2, ПОМЕЩ. 1</t>
  </si>
  <si>
    <t>ООО СК "ДМИТРИЙ ДОНСКОЙ"</t>
  </si>
  <si>
    <t>ОБЩЕСТВО С ОГРАНИЧЕННОЙ ОТВЕТСТВЕННОСТЬЮ СПОРТИВНЫЙ КЛУБ "ДМИТРИЙ ДОНСКОЙ"</t>
  </si>
  <si>
    <t>9310009313</t>
  </si>
  <si>
    <t>1239300009024</t>
  </si>
  <si>
    <t>287554, ДОНЕЦКАЯ НАРОДНАЯ РЕСПУБЛИКА, МАРИУПОЛЬ, Г. МАРИУПОЛЬ, Г. МАРИУПОЛЬ, ПР-КТ СТРОИТЕЛЕЙ, Д. 161</t>
  </si>
  <si>
    <t>ООО ЮЦ "ГАРАНТ"</t>
  </si>
  <si>
    <t>ОБЩЕСТВО С ОГРАНИЧЕННОЙ ОТВЕТСТВЕННОСТЬЮ ЮРИДИЧЕСКИЙ ЦЕНТР "ГАРАНТ"</t>
  </si>
  <si>
    <t>9310008976</t>
  </si>
  <si>
    <t>1239300007770</t>
  </si>
  <si>
    <t>287524, ДОНЕЦКАЯ НАРОДНАЯ РЕСПУБЛИКА, МАРИУПОЛЬ, Г. МАРИУПОЛЬ, Г. МАРИУПОЛЬ, ПР-КТ МЕТАЛЛУРГОВ, Д. 213, ПОМЕЩ. 45</t>
  </si>
  <si>
    <t>РАБИС</t>
  </si>
  <si>
    <t>РЕГИОНАЛЬНАЯ ОБЩЕСТВЕННАЯ ОРГАНИЗАЦИЯ "АССОЦИАЦИЯ БОЕВЫХ ИСКУССТВ И СПОРТА"</t>
  </si>
  <si>
    <t>9310009433</t>
  </si>
  <si>
    <t>1239300009233</t>
  </si>
  <si>
    <t>287526, ДОНЕЦКАЯ НАРОДНАЯ РЕСПУБЛИКА, МАРИУПОЛЬ, Г. МАРИУПОЛЬ, Г. МАРИУПОЛЬ, ПР-КТ ТУЛЬСКИЙ, Д. 158Б, КВ. 85</t>
  </si>
  <si>
    <t>СНТСН "ТРОЯНДА"</t>
  </si>
  <si>
    <t>САДОВОДЧЕСКОЕ НЕКОММЕРЧЕСКОЕ ТОВАРИЩЕСТВО СОБСТВЕННИКОВ НЕДВИЖИМОСТИ "ТРОЯНДА"</t>
  </si>
  <si>
    <t>9310009200</t>
  </si>
  <si>
    <t>1239300008716</t>
  </si>
  <si>
    <t>287513, ДОНЕЦКАЯ НАРОДНАЯ РЕСПУБЛИКА, МАРИУПОЛЬ, Г. МАРИУПОЛЬ, Г. МАРИУПОЛЬ, УЛ. НАБЕРЕЖНАЯ, Д. 1</t>
  </si>
  <si>
    <t>ФГКУ "3 ПСО ФПС ГПС ПО ДОНЕЦКОЙ НАРОДНОЙ РЕСПУБЛИКЕ"</t>
  </si>
  <si>
    <t>ФЕДЕРАЛЬНОЕ ГОСУДАРСТВЕННОЕ КАЗЕННОЕ УЧРЕЖДЕНИЕ "3 ПОЖАРНО-СПАСАТЕЛЬНЫЙ ОТРЯД ФЕДЕРАЛЬНОЙ ПРОТИВОПОЖАРНОЙ СЛУЖБЫ ГОСУДАРСТВЕННОЙ ПРОТИВОПОЖАРНОЙ СЛУЖБЫ ПО ДОНЕЦКОЙ НАРОДНОЙ РЕСПУБЛИКЕ"</t>
  </si>
  <si>
    <t>9310009120</t>
  </si>
  <si>
    <t>1239300008243</t>
  </si>
  <si>
    <t>АНО "СК "ВОСТОК-СПОРТ"</t>
  </si>
  <si>
    <t>АВТОНОМНАЯ НЕКОММЕРЧЕСКАЯ ОРГАНИЗАЦИЯ "СПОРТИВНЫЙ КЛУБ "ВОСТОК-СПОРТ"</t>
  </si>
  <si>
    <t>9310009634</t>
  </si>
  <si>
    <t>1239300009838</t>
  </si>
  <si>
    <t>287526, ДОНЕЦКАЯ НАРОДНАЯ РЕСПУБЛИКА, МАРИУПОЛЬ, Г. МАРИУПОЛЬ, Г. МАРИУПОЛЬ, ПЕР. ОЛИМПИЙСКИЙ, Д. 34</t>
  </si>
  <si>
    <t>ООО "ЛЕВАНТ"</t>
  </si>
  <si>
    <t>ОБЩЕСТВО С ОГРАНИЧЕННОЙ ОТВЕТСТВЕННОСТЬЮ  "ЛЕВАНТ"</t>
  </si>
  <si>
    <t>9310009779</t>
  </si>
  <si>
    <t>1239300010322</t>
  </si>
  <si>
    <t>287501, ДОНЕЦКАЯ НАРОДНАЯ РЕСПУБЛИКА, МАРИУПОЛЬ, Г. МАРИУПОЛЬ, Г. МАРИУПОЛЬ, ПР-КТ МЕТАЛЛУРГОВ, Д. 33, КВ. 52</t>
  </si>
  <si>
    <t>ООО "АЛКО-МИР"</t>
  </si>
  <si>
    <t>ОБЩЕСТВО С ОГРАНИЧЕННОЙ ОТВЕТСТВЕННОСТЬЮ "АЛКО-МИР"</t>
  </si>
  <si>
    <t>9310009835</t>
  </si>
  <si>
    <t>1239300010564</t>
  </si>
  <si>
    <t>ДОНЕЦКАЯ НАРОДНАЯ РЕСПУБЛИКА, МАРИУПОЛЬ, Г. МАРИУПОЛЬ, Г. МАРИУПОЛЬ, УЛ. БЕЛЯКОВА, СООР. 24</t>
  </si>
  <si>
    <t>ООО "АЛЬФА-М"</t>
  </si>
  <si>
    <t>ОБЩЕСТВО С ОГРАНИЧЕННОЙ ОТВЕТСТВЕННОСТЬЮ "АЛЬФА-М"</t>
  </si>
  <si>
    <t>9310009666</t>
  </si>
  <si>
    <t>1239300009960</t>
  </si>
  <si>
    <t>ДОНЕЦКАЯ НАРОДНАЯ РЕСПУБЛИКА, МАРИУПОЛЬ, Г. МАРИУПОЛЬ, Г. МАРИУПОЛЬ, ПР-КТ ПОБЕДЫ, Д. 86</t>
  </si>
  <si>
    <t>ООО "АНТЕЙ"</t>
  </si>
  <si>
    <t>ОБЩЕСТВО С ОГРАНИЧЕННОЙ ОТВЕТСТВЕННОСТЬЮ "АНТЕЙ"</t>
  </si>
  <si>
    <t>9310009722</t>
  </si>
  <si>
    <t>1239300010124</t>
  </si>
  <si>
    <t>ДОНЕЦКАЯ НАРОДНАЯ РЕСПУБЛИКА, МАРИУПОЛЬ, Г. МАРИУПОЛЬ, Г. МАРИУПОЛЬ, ПР-КТ ПОБЕДЫ, Д. 89, ПОМЕЩ. 3</t>
  </si>
  <si>
    <t>ООО "АРТЕМИДА"</t>
  </si>
  <si>
    <t>ОБЩЕСТВО С ОГРАНИЧЕННОЙ ОТВЕТСТВЕННОСТЬЮ "АРТЕМИДА"</t>
  </si>
  <si>
    <t>9310010051</t>
  </si>
  <si>
    <t>1239300011235</t>
  </si>
  <si>
    <t>ДОНЕЦКАЯ НАРОДНАЯ РЕСПУБЛИКА, МАРИУПОЛЬ, Г. МАРИУПОЛЬ, Г. МАРИУПОЛЬ, УЛ. ГОНЧАРОВА, Д. 27</t>
  </si>
  <si>
    <t>9310009962</t>
  </si>
  <si>
    <t>1239300010905</t>
  </si>
  <si>
    <t>ДОНЕЦКАЯ НАРОДНАЯ РЕСПУБЛИКА, МАРИУПОЛЬ, Г. МАРИУПОЛЬ, Г. МАРИУПОЛЬ, УЛ. КРАСНОМАЯКСКАЯ, Д. 2, К. 1, ОФИС 203</t>
  </si>
  <si>
    <t>ООО "ВНЕШТРАНС"</t>
  </si>
  <si>
    <t>ОБЩЕСТВО С ОГРАНИЧЕННОЙ ОТВЕТСТВЕННОСТЬЮ "ВНЕШТРАНС"</t>
  </si>
  <si>
    <t>9310010076</t>
  </si>
  <si>
    <t>1239300011290</t>
  </si>
  <si>
    <t>ООО "ЕСМ"</t>
  </si>
  <si>
    <t>ОБЩЕСТВО С ОГРАНИЧЕННОЙ ОТВЕТСТВЕННОСТЬЮ "ЕСМ"</t>
  </si>
  <si>
    <t>9310009970</t>
  </si>
  <si>
    <t>1239300010938</t>
  </si>
  <si>
    <t>287501, ДОНЕЦКАЯ НАРОДНАЯ РЕСПУБЛИКА, МАРИУПОЛЬ, Г. МАРИУПОЛЬ, Г. МАРИУПОЛЬ, УЛ. КАРЛА ЛИБКНЕХТА, Д. 51, ПОМЕЩ. 30</t>
  </si>
  <si>
    <t>ООО "ИСЭЛ"</t>
  </si>
  <si>
    <t>ОБЩЕСТВО С ОГРАНИЧЕННОЙ ОТВЕТСТВЕННОСТЬЮ "ИСЭЛ"</t>
  </si>
  <si>
    <t>9310009874</t>
  </si>
  <si>
    <t>1239300010641</t>
  </si>
  <si>
    <t>287552, ДОНЕЦКАЯ НАРОДНАЯ РЕСПУБЛИКА, МАРИУПОЛЬ, Г. МАРИУПОЛЬ, Г. МАРИУПОЛЬ, УЛ. БРАТСКАЯ, Д. 35</t>
  </si>
  <si>
    <t>ООО "КЛАССИК"</t>
  </si>
  <si>
    <t>ОБЩЕСТВО С ОГРАНИЧЕННОЙ ОТВЕТСТВЕННОСТЬЮ "КЛАССИК"</t>
  </si>
  <si>
    <t>9310009948</t>
  </si>
  <si>
    <t>1239300010872</t>
  </si>
  <si>
    <t>287510, ДОНЕЦКАЯ НАРОДНАЯ РЕСПУБЛИКА, МАРИУПОЛЬ, Г. МАРИУПОЛЬ, Г. МАРИУПОЛЬ, ПР-КТ ЛУНИНА, Д. 13В, КВ. 2</t>
  </si>
  <si>
    <t>ООО "КЭТРИН-БИЗНЕС-ФЭМЕЛИ"</t>
  </si>
  <si>
    <t>ОБЩЕСТВО С ОГРАНИЧЕННОЙ ОТВЕТСТВЕННОСТЬЮ "КЭТРИН-БИЗНЕС-ФЭМЕЛИ"</t>
  </si>
  <si>
    <t>9310009867</t>
  </si>
  <si>
    <t>1239300010620</t>
  </si>
  <si>
    <t>287510, ДОНЕЦКАЯ НАРОДНАЯ РЕСПУБЛИКА, МАРИУПОЛЬ, Г. МАРИУПОЛЬ, Г. МАРИУПОЛЬ, УЛ. КРОНШТАДТСКАЯ, Д. 4, ПОМЕЩ. 65</t>
  </si>
  <si>
    <t>ООО "М ЛИОН"</t>
  </si>
  <si>
    <t>ОБЩЕСТВО С ОГРАНИЧЕННОЙ ОТВЕТСТВЕННОСТЬЮ "М ЛИОН"</t>
  </si>
  <si>
    <t>9310009850</t>
  </si>
  <si>
    <t>1239300010608</t>
  </si>
  <si>
    <t>ДОНЕЦКАЯ НАРОДНАЯ РЕСПУБЛИКА, МАРИУПОЛЬ, Г. МАРИУПОЛЬ, Г. МАРИУПОЛЬ, УЛ. ЖЕЛЕЗНОДОРОЖНЫЙ МОСТ, Д. 232</t>
  </si>
  <si>
    <t>ООО "МАЛИНА"</t>
  </si>
  <si>
    <t>ОБЩЕСТВО С ОГРАНИЧЕННОЙ ОТВЕТСТВЕННОСТЬЮ "МАЛИНА"</t>
  </si>
  <si>
    <t>9310010020</t>
  </si>
  <si>
    <t>1239300011081</t>
  </si>
  <si>
    <t>ДОНЕЦКАЯ НАРОДНАЯ РЕСПУБЛИКА, МАРИУПОЛЬ, Г. МАРИУПОЛЬ, Г. МАРИУПОЛЬ, ПР-КТ ЛЕНИНА, Д. 18/20</t>
  </si>
  <si>
    <t>ООО "МЕГАСТРОЙ"</t>
  </si>
  <si>
    <t>ОБЩЕСТВО С ОГРАНИЧЕННОЙ ОТВЕТСТВЕННОСТЬЮ "МЕГАСТРОЙ"</t>
  </si>
  <si>
    <t>9310009899</t>
  </si>
  <si>
    <t>1239300010674</t>
  </si>
  <si>
    <t>287512, ДОНЕЦКАЯ НАРОДНАЯ РЕСПУБЛИКА, МАРИУПОЛЬ, Г. МАРИУПОЛЬ, Г. МАРИУПОЛЬ, УЛ. 60 ЛЕТ СССР, Д. 3, ПОМЕЩ. 71</t>
  </si>
  <si>
    <t>ООО "МЕЧТА"</t>
  </si>
  <si>
    <t>ОБЩЕСТВО С ОГРАНИЧЕННОЙ ОТВЕТСТВЕННОСТЬЮ "МЕЧТА"</t>
  </si>
  <si>
    <t>9310009842</t>
  </si>
  <si>
    <t>1239300010586</t>
  </si>
  <si>
    <t>287541, ДОНЕЦКАЯ НАРОДНАЯ РЕСПУБЛИКА, МАРИУПОЛЬ, Г. МАРИУПОЛЬ, Г. МАРИУПОЛЬ, ПР-КТ ПОБЕДЫ, Д. 51/32, ПОМЕЩ. 62</t>
  </si>
  <si>
    <t>ООО "МТ"</t>
  </si>
  <si>
    <t>ОБЩЕСТВО С ОГРАНИЧЕННОЙ ОТВЕТСТВЕННОСТЬЮ "МОНОЛИТ ТЕХНОСТРОЙ"</t>
  </si>
  <si>
    <t>9310009659</t>
  </si>
  <si>
    <t>1239300009926</t>
  </si>
  <si>
    <t>ДОНЕЦКАЯ НАРОДНАЯ РЕСПУБЛИКА, МАРИУПОЛЬ, Г. МАРИУПОЛЬ, Г. МАРИУПОЛЬ, УЛ. ЭНГЕЛЬСА, ЗД. 60, ОФИС 302</t>
  </si>
  <si>
    <t>ООО "ПРИСТИЖ"</t>
  </si>
  <si>
    <t>ОБЩЕСТВО С ОГРАНИЧЕННОЙ ОТВЕТСТВЕННОСТЬЮ "ПРИСТИЖ"</t>
  </si>
  <si>
    <t>9310009793</t>
  </si>
  <si>
    <t>1239300010443</t>
  </si>
  <si>
    <t>287549, ДОНЕЦКАЯ НАРОДНАЯ РЕСПУБЛИКА, МАРИУПОЛЬ, Г. МАРИУПОЛЬ, Г. МАРИУПОЛЬ, ПР-КТ МЕТАЛЛУРГОВ, Д. 123А</t>
  </si>
  <si>
    <t>ООО "СОКОЛ"</t>
  </si>
  <si>
    <t>ОБЩЕСТВО С ОГРАНИЧЕННОЙ ОТВЕТСТВЕННОСТЬЮ "СОКОЛ"</t>
  </si>
  <si>
    <t>9310009761</t>
  </si>
  <si>
    <t>1239300010311</t>
  </si>
  <si>
    <t>ДОНЕЦКАЯ НАРОДНАЯ РЕСПУБЛИКА, МАРИУПОЛЬ, Г. МАРИУПОЛЬ, Г. МАРИУПОЛЬ, УЛ. МИТРОПОЛИТСКАЯ, Д. 53</t>
  </si>
  <si>
    <t>ООО "ТМС-СЕРВИС"</t>
  </si>
  <si>
    <t>ОБЩЕСТВО С ОГРАНИЧЕННОЙ ОТВЕТСТВЕННОСТЬЮ "ТМС-СЕРВИС"</t>
  </si>
  <si>
    <t>9310009627</t>
  </si>
  <si>
    <t>1239300009827</t>
  </si>
  <si>
    <t>ДОНЕЦКАЯ НАРОДНАЯ РЕСПУБЛИКА, МАРИУПОЛЬ, Г. МАРИУПОЛЬ, Г. МАРИУПОЛЬ, УЛ. МАКАРА МАЗАЯ, Д. 8А, ПОМЕЩ. 1</t>
  </si>
  <si>
    <t>ООО "УЮТНЫЙ ДОМ"</t>
  </si>
  <si>
    <t>ОБЩЕСТВО С ОГРАНИЧЕННОЙ ОТВЕТСТВЕННОСТЬЮ "УЮТНЫЙ ДОМ"</t>
  </si>
  <si>
    <t>9310009987</t>
  </si>
  <si>
    <t>1239300010949</t>
  </si>
  <si>
    <t>287501, ДОНЕЦКАЯ НАРОДНАЯ РЕСПУБЛИКА, МАРИУПОЛЬ, Г. МАРИУПОЛЬ, Г. МАРИУПОЛЬ, ПР-КТ НАХИМОВА, Д. 186, ПОМЕЩ. 65</t>
  </si>
  <si>
    <t>ООО "ЭКОМАРКЕТ"</t>
  </si>
  <si>
    <t>ОБЩЕСТВО С ОГРАНИЧЕННОЙ ОТВЕТСТВЕННОСТЬЮ "ЭКОМАРКЕТ"</t>
  </si>
  <si>
    <t>9310009955</t>
  </si>
  <si>
    <t>1239300010894</t>
  </si>
  <si>
    <t>287501, ДОНЕЦКАЯ НАРОДНАЯ РЕСПУБЛИКА, МАРИУПОЛЬ, Г. МАРИУПОЛЬ, Г. МАРИУПОЛЬ, УЛ. ЛАВИЦКОГО, Д. 23</t>
  </si>
  <si>
    <t>ООО "ЭЛИТА"</t>
  </si>
  <si>
    <t>ОБЩЕСТВО С ОГРАНИЧЕННОЙ ОТВЕТСТВЕННОСТЬЮ "ЭЛИТА"</t>
  </si>
  <si>
    <t>9310009923</t>
  </si>
  <si>
    <t>1239300010740</t>
  </si>
  <si>
    <t>ДОНЕЦКАЯ НАРОДНАЯ РЕСПУБЛИКА, МАРИУПОЛЬ, Г. МАРИУПОЛЬ, Г. МАРИУПОЛЬ, ПЕР. КОТЛЯРЕВСКОГО, Д. 21</t>
  </si>
  <si>
    <t>ООО "ЭЛИТКОМПАНИ"</t>
  </si>
  <si>
    <t>ОБЩЕСТВО С ОГРАНИЧЕННОЙ ОТВЕТСТВЕННОСТЬЮ "ЭЛИТКОМПАНИ"</t>
  </si>
  <si>
    <t>9310009881</t>
  </si>
  <si>
    <t>1239300010663</t>
  </si>
  <si>
    <t>287501, ДОНЕЦКАЯ НАРОДНАЯ РЕСПУБЛИКА, МАРИУПОЛЬ, Г. МАРИУПОЛЬ, Г. МАРИУПОЛЬ, ПР-КТ ЛЕНИНА, Д. 82, ПОМЕЩ. 4</t>
  </si>
  <si>
    <t>ООО "ЮГВНЕШТОРГ"</t>
  </si>
  <si>
    <t>ОБЩЕСТВО С ОГРАНИЧЕННОЙ ОТВЕТСТВЕННОСТЬЮ "ЮГВНЕШТОРГ"</t>
  </si>
  <si>
    <t>9310009680</t>
  </si>
  <si>
    <t>1239300009992</t>
  </si>
  <si>
    <t>ООО СК "ТЕРМИНАЛ"</t>
  </si>
  <si>
    <t>ОБЩЕСТВО С ОГРАНИЧЕННОЙ ОТВЕТСТВЕННОСТЬЮ СК "ТЕРМИНАЛ"</t>
  </si>
  <si>
    <t>9303034277</t>
  </si>
  <si>
    <t>1239300010410</t>
  </si>
  <si>
    <t>ООО ТПК "МЕРКУРИЙ ЭНЕРГО АЛЬЯНС"</t>
  </si>
  <si>
    <t>ОБЩЕСТВО С ОГРАНИЧЕННОЙ ОТВЕТСТВЕННОСТЬЮ ТОРГОВО-ПРОИЗВОДСТВЕННАЯ КОМПАНИЯ "МЕРКУРИЙ ЭНЕРГО АЛЬЯНС"</t>
  </si>
  <si>
    <t>9310010037</t>
  </si>
  <si>
    <t>1239300011092</t>
  </si>
  <si>
    <t>ДОНЕЦКАЯ НАРОДНАЯ РЕСПУБЛИКА, МАРИУПОЛЬ, Г. МАРИУПОЛЬ, Г. МАРИУПОЛЬ, ПЕР. АЭРОДРОМНЫЙ, Д. 5</t>
  </si>
  <si>
    <t>ПЕРВИЧНАЯ ПРОФСОЮЗНАЯ ОРГАНИЗАЦИЯ ФЕДЕРАЛЬНОГО ГОСУДАРСТВЕННОГО БЮДЖЕТНОГО ОБРАЗОВАТЕЛЬНОГО УЧРЕЖДЕНИЯ ВЫСШЕГО ОБРАЗОВАНИЯ "ПРИАЗОВСКИЙ ГОСУДАРСТВЕННЫЙ ТЕХНИЧЕСКИЙ УНИВЕРСИТЕТ "ОБЩЕРОССИЙСКОГО ПРОФСОЮЗА ОБРАЗОВАНИЯ В ДОНЕЦКОЙ НАРОДНОЙ РЕСПУБЛИКЕ</t>
  </si>
  <si>
    <t>ПЕРВИЧНАЯ ПРОФСОЮЗНАЯ ОРГАНИЗАЦИЯ ФЕДЕРАЛЬНОГО ГОСУДАРСТВЕННОГО БЮДЖЕТНОГО ОБРАЗОВАТЕЛЬНОГО УЧРЕЖДЕНИЯ ВЫСШЕГО ОБРАЗОВАНИЯ "ПРИАЗОВСКИЙ ГОСУДАРСТВЕННЫЙ ТЕХНИЧЕСКИЙ УНИВЕРСИТЕТ" ПРОФЕССИОНАЛЬНОГО СОЮЗА РАБОТНИКОВ НАРОДНОГО ОБРАЗОВАНИЯ И НАУКИ РОССИЙСКОЙ ФЕДЕРАЦИИ В ДОНЕЦКОЙ НАРОДНОЙ РЕСПУБЛИКЕ</t>
  </si>
  <si>
    <t>9310009810</t>
  </si>
  <si>
    <t>1239300010498</t>
  </si>
  <si>
    <t>287526, ДОНЕЦКАЯ НАРОДНАЯ РЕСПУБЛИКА, МАРИУПОЛЬ, Г. МАРИУПОЛЬ, Г. МАРИУПОЛЬ, УЛ. УНИВЕРСИТЕТСКАЯ, Д. 7</t>
  </si>
  <si>
    <t>СК НОВАТОР</t>
  </si>
  <si>
    <t>РЕГИОНАЛЬНАЯ ОБЩЕСТВЕННАЯ ОРГАНИЗАЦИЯ "СПОРТИВНЫЙ КЛУБ "НОВАТОР"</t>
  </si>
  <si>
    <t>9310009916</t>
  </si>
  <si>
    <t>1239300010696</t>
  </si>
  <si>
    <t>287554, ДОНЕЦКАЯ НАРОДНАЯ РЕСПУБЛИКА, МАРИУПОЛЬ, Г. МАРИУПОЛЬ, Г. МАРИУПОЛЬ, ПР-КТ СТРОИТЕЛЕЙ, Д. 154, ПОМЕЩ. 130</t>
  </si>
  <si>
    <t>РОО "ФС ДНР"</t>
  </si>
  <si>
    <t>РЕГИОНАЛЬНАЯ ОБЩЕСТВЕННАЯ ОРГАНИЗАЦИЯ "ФЕДЕРАЦИЯ СУМО ДОНЕЦКОЙ НАРОДНОЙ РЕСПУБЛИКИ"</t>
  </si>
  <si>
    <t>9310009754</t>
  </si>
  <si>
    <t>1239300010278</t>
  </si>
  <si>
    <t>ДОНЕЦКАЯ НАРОДНАЯ РЕСПУБЛИКА, МАРИУПОЛЬ, Г. МАРИУПОЛЬ, Г. МАРИУПОЛЬ, УЛ. НОВАЯ ЖИЗНЬ, Д. 14А</t>
  </si>
  <si>
    <t>РОО "ЦСП "КИНОЛОГИЧЕСКАЯ СЛУЖБА "ХОРС"</t>
  </si>
  <si>
    <t>РЕГИОНАЛЬНАЯ ОБЩЕСТВЕННАЯ ОРГАНИЗАЦИЯ "ЦЕНТР СПЕЦИАЛЬНОЙ ПОДГОТОВКИ "КИНОЛОГИЧЕСКАЯ СЛУЖБА "ХОРС"</t>
  </si>
  <si>
    <t>9310009747</t>
  </si>
  <si>
    <t>1239300010234</t>
  </si>
  <si>
    <t>287512, ДОНЕЦКАЯ НАРОДНАЯ РЕСПУБЛИКА, МАРИУПОЛЬ, Г. МАРИУПОЛЬ, Г. МАРИУПОЛЬ, УЛ. УРИЦКОГО, Д. 57</t>
  </si>
  <si>
    <t>РОО ДНР "СОЮЗ ЖЕНЩИН ПРИАЗОВЬЯ"</t>
  </si>
  <si>
    <t>РЕГИОНАЛЬНАЯ ОБЩЕСТВЕННАЯ ОРГАНИЗАЦИЯ ДОНЕЦКОЙ НАРОДНОЙ РЕСПУБЛИКИ "СОЮЗ ЖЕНЩИН ПРИАЗОВЬЯ"</t>
  </si>
  <si>
    <t>9310009730</t>
  </si>
  <si>
    <t>1239300010179</t>
  </si>
  <si>
    <t>287524, ДОНЕЦКАЯ НАРОДНАЯ РЕСПУБЛИКА, МАРИУПОЛЬ, Г. МАРИУПОЛЬ, Г. МАРИУПОЛЬ, УЛ. СЕЧЕНОВА, Д. 47</t>
  </si>
  <si>
    <t>РФСОО "ФЕДЕРАЦИЯ МУАЙТАЙ ДНР"</t>
  </si>
  <si>
    <t>РЕГИОНАЛЬНАЯ ФИЗКУЛЬТУРНО-СПОРТИВНАЯ ОБЩЕСТВЕННАЯ ОРГАНИЗАЦИЯ "ФЕДЕРАЦИЯ МУАЙТАЙ  ДОНЕЦКОЙ НАРОДНОЙ РЕСПУБЛИКИ"</t>
  </si>
  <si>
    <t>9310009698</t>
  </si>
  <si>
    <t>1239300010036</t>
  </si>
  <si>
    <t>ДОНЕЦКАЯ НАРОДНАЯ РЕСПУБЛИКА, МАРИУПОЛЬ, Г. МАРИУПОЛЬ, Г. МАРИУПОЛЬ, УЛ. ЗЕЛИНСКОГО, Д. 98А, КВ. 21</t>
  </si>
  <si>
    <t>СНТ "ЕКАТЕРИНИНСКОЕ"</t>
  </si>
  <si>
    <t>САДОВОДЧЕСКОЕ НЕКОММЕРЧЕСКОЕ ТОВАРИЩЕСТВО "ЕКАТЕРИНИНСКОЕ"</t>
  </si>
  <si>
    <t>9310009673</t>
  </si>
  <si>
    <t>1239300009970</t>
  </si>
  <si>
    <t>ДОНЕЦКАЯ НАРОДНАЯ РЕСПУБЛИКА, МАРИУПОЛЬ, Г. МАРИУПОЛЬ, Г. МАРИУПОЛЬ, УЛ. АГРАРНАЯ, Д. 107</t>
  </si>
  <si>
    <t>ТСН "СНТ "СОЛНЕЧНЫЙ"</t>
  </si>
  <si>
    <t>ТОВАРИЩЕСТВО СОБСТВЕННИКОВ НЕДВИЖИМОСТИ "САДОВОЕ НЕКОММЕРЧЕСКОЕ ТОВАРИЩЕСТВО "СОЛНЕЧНЫЙ"</t>
  </si>
  <si>
    <t>9310009803</t>
  </si>
  <si>
    <t>1239300010476</t>
  </si>
  <si>
    <t>287526, ДОНЕЦКАЯ НАРОДНАЯ РЕСПУБЛИКА, МАРИУПОЛЬ, Г. МАРИУПОЛЬ, Г. МАРИУПОЛЬ, ПР-КТ ПОБЕДЫ, Д. 112, КВ. 10</t>
  </si>
  <si>
    <t>БФ "МАРИУПОЛЮ - ЖИТЬ" ИМ. ХАРЧУКА М.А."</t>
  </si>
  <si>
    <t>БЛАГОТВОРИТЕЛЬНЫЙ ФОНД "МАРИУПОЛЮ - ЖИТЬ" ИМЕНИ ХАРЧУКА МАКСИМА АНДРЕЕВИЧА"</t>
  </si>
  <si>
    <t>9310010284</t>
  </si>
  <si>
    <t>1239300011830</t>
  </si>
  <si>
    <t>287501, ДОНЕЦКАЯ НАРОДНАЯ РЕСПУБЛИКА, МАРИУПОЛЬ, Г. МАРИУПОЛЬ, Г. МАРИУПОЛЬ, ПР-КТ МЕТАЛЛУРГОВ, Д. 25, КВ. 1</t>
  </si>
  <si>
    <t>МОО "ФЕДЕРАЦИЯ СБМ"</t>
  </si>
  <si>
    <t>МЕСТНАЯ ОБЩЕСТВЕННАЯ ОРГАНИЗАЦИЯ "ФЕДЕРАЦИЯ СПОРТИВНОЙ БОРЬБЫ ГОРОДА МАРИУПОЛЯ"</t>
  </si>
  <si>
    <t>9310010196</t>
  </si>
  <si>
    <t>1239300011675</t>
  </si>
  <si>
    <t>287549, ДОНЕЦКАЯ НАРОДНАЯ РЕСПУБЛИКА, МАРИУПОЛЬ, Г. МАРИУПОЛЬ, Г. МАРИУПОЛЬ, ПР-КТ МЕТАЛЛУРГОВ, Д. 71, КВ. 28</t>
  </si>
  <si>
    <t>ООО "АССОРТИ"</t>
  </si>
  <si>
    <t>ОБЩЕСТВО С ОГРАНИЧЕННОЙ ОТВЕТСТВЕННОСТЬЮ "АССОРТИ"</t>
  </si>
  <si>
    <t>9310010090</t>
  </si>
  <si>
    <t>1239300011389</t>
  </si>
  <si>
    <t>287537, ДОНЕЦКАЯ НАРОДНАЯ РЕСПУБЛИКА, МАРИУПОЛЬ, Г. МАРИУПОЛЬ, Г. МАРИУПОЛЬ, ПР-КТ ЛЕНИНА, Д. 100, ПОМЕЩ. 161</t>
  </si>
  <si>
    <t>ООО "ВИКТОРИЯ"</t>
  </si>
  <si>
    <t>ОБЩЕСТВО С ОГРАНИЧЕННОЙ ОТВЕТСТВЕННОСТЬЮ "ВИКТОРИЯ"</t>
  </si>
  <si>
    <t>9310010380</t>
  </si>
  <si>
    <t>1239300012203</t>
  </si>
  <si>
    <t>287513, ДОНЕЦКАЯ НАРОДНАЯ РЕСПУБЛИКА, МАРИУПОЛЬ, Г. МАРИУПОЛЬ, Г. МАРИУПОЛЬ, КВ-Л 26, Д. 5, КВ. 15</t>
  </si>
  <si>
    <t>ООО "ГРУЗОПЕРЕВОЗКИ"</t>
  </si>
  <si>
    <t>ОБЩЕСТВО С ОГРАНИЧЕННОЙ ОТВЕТСТВЕННОСТЬЮ "ГРУЗОПЕРЕВОЗКИ"</t>
  </si>
  <si>
    <t>9310010252</t>
  </si>
  <si>
    <t>1239300011785</t>
  </si>
  <si>
    <t>ООО "ДИАНА"</t>
  </si>
  <si>
    <t>ОБЩЕСТВО С ОГРАНИЧЕННОЙ ОТВЕТСТВЕННОСТЬЮ "ДИАНА"</t>
  </si>
  <si>
    <t>9310010326</t>
  </si>
  <si>
    <t>1239300011939</t>
  </si>
  <si>
    <t>287557, ДОНЕЦКАЯ НАРОДНАЯ РЕСПУБЛИКА, МАРИУПОЛЬ, Г. МАРИУПОЛЬ, Г. МАРИУПОЛЬ, УЛ. КИЕВСКАЯ, Д. 41, КВ. 74</t>
  </si>
  <si>
    <t>ООО "ДОНБАСС СПЕЦ-СТРОЙ ИНЖИНИРИНГ"</t>
  </si>
  <si>
    <t>ОБЩЕСТВО С ОГРАНИЧЕННОЙ ОТВЕТСТВЕННОСТЬЮ "ДОНБАСС СПЕЦ-СТРОЙ ИНЖИНИРИНГ"</t>
  </si>
  <si>
    <t>9310010189</t>
  </si>
  <si>
    <t>1239300011620</t>
  </si>
  <si>
    <t>ООО "ДОХОД ПЛЮС"</t>
  </si>
  <si>
    <t>ОБЩЕСТВО С ОГРАНИЧЕННОЙ ОТВЕТСТВЕННОСТЬЮ "ДОХОД ПЛЮС"</t>
  </si>
  <si>
    <t>9310010164</t>
  </si>
  <si>
    <t>1239300011390</t>
  </si>
  <si>
    <t>ДОНЕЦКАЯ НАРОДНАЯ РЕСПУБЛИКА, МАРИУПОЛЬ, Г. МАРИУПОЛЬ, Г. МАРИУПОЛЬ, УЛ. УРИЦКОГО, Д. 63А</t>
  </si>
  <si>
    <t>ООО "КВС"</t>
  </si>
  <si>
    <t>ОБЩЕСТВО С ОГРАНИЧЕННОЙ ОТВЕТСТВЕННОСТЬЮ "КВС"</t>
  </si>
  <si>
    <t>9310010157</t>
  </si>
  <si>
    <t>1239300011554</t>
  </si>
  <si>
    <t>287549, ДОНЕЦКАЯ НАРОДНАЯ РЕСПУБЛИКА, МАРИУПОЛЬ, Г. МАРИУПОЛЬ, Г. МАРИУПОЛЬ, ПР-КТ МЕТАЛЛУРГОВ, Д. 127, КВ. 78</t>
  </si>
  <si>
    <t>ООО "КОВЧЕГ-ИНЖИНИРИНГ"</t>
  </si>
  <si>
    <t>ОБЩЕСТВО С ОГРАНИЧЕННОЙ ОТВЕТСТВЕННОСТЬЮ "КОВЧЕГ-ИНЖИНИРИНГ"</t>
  </si>
  <si>
    <t>9310010372</t>
  </si>
  <si>
    <t>1239300012126</t>
  </si>
  <si>
    <t>ООО "РСУ - 159"</t>
  </si>
  <si>
    <t>ОБЩЕСТВО С ОГРАНИЧЕННОЙ ОТВЕТСТВЕННОСТЬЮ "РЕМОНТНО-СТРОИТЕЛЬНОЕ УПРАВЛЕНИЕ - 159"</t>
  </si>
  <si>
    <t>9310010291</t>
  </si>
  <si>
    <t>1239300011840</t>
  </si>
  <si>
    <t>ООО "ККП"</t>
  </si>
  <si>
    <t>ОБЩЕСТВО С ОГРАНИЧЕННОЙ ОТВЕТСТВЕННОСТЬЮ "КОМПАНИЯ КОМФОРТНОЙ ПЛОЩАДИ"</t>
  </si>
  <si>
    <t>9310010171</t>
  </si>
  <si>
    <t>1239300011422</t>
  </si>
  <si>
    <t>287510, ДОНЕЦКАЯ НАРОДНАЯ РЕСПУБЛИКА, МАРИУПОЛЬ, Г. МАРИУПОЛЬ, Г. МАРИУПОЛЬ, УЛ. КРОНШТАДТСКАЯ, Д. 11, ПОМЕЩ. 1</t>
  </si>
  <si>
    <t>ООО "КОФЕМАН"</t>
  </si>
  <si>
    <t>ОБЩЕСТВО С ОГРАНИЧЕННОЙ ОТВЕТСТВЕННОСТЬЮ "КОФЕМАН"</t>
  </si>
  <si>
    <t>9310010397</t>
  </si>
  <si>
    <t>1239300012214</t>
  </si>
  <si>
    <t>287512, ДОНЕЦКАЯ НАРОДНАЯ РЕСПУБЛИКА, МАРИУПОЛЬ, Г. МАРИУПОЛЬ, Г. МАРИУПОЛЬ, УЛ. 9 АВИАДИВИЗИИ, Д. 14, ПОМЕЩ. 1</t>
  </si>
  <si>
    <t>ООО "ЛОМБАРД ДОВЕРИЕ"</t>
  </si>
  <si>
    <t>ОБЩЕСТВО С ОГРАНИЧЕННОЙ ОТВЕТСТВЕННОСТЬЮ "ЛОМБАРД ДОВЕРИЕ"</t>
  </si>
  <si>
    <t>9310010206</t>
  </si>
  <si>
    <t>1239300011708</t>
  </si>
  <si>
    <t>ДОНЕЦКАЯ НАРОДНАЯ РЕСПУБЛИКА, МАРИУПОЛЬ, Г. МАРИУПОЛЬ, Г. МАРИУПОЛЬ, УЛ. ТОРГОВАЯ, Д. 126</t>
  </si>
  <si>
    <t>ООО "МАРКОМПРОД"</t>
  </si>
  <si>
    <t>ОБЩЕСТВО С ОГРАНИЧЕННОЙ ОТВЕТСТВЕННОСТЬЮ "МАРКОМПРОД"</t>
  </si>
  <si>
    <t>9310010220</t>
  </si>
  <si>
    <t>1239300011752</t>
  </si>
  <si>
    <t>287513, ДОНЕЦКАЯ НАРОДНАЯ РЕСПУБЛИКА, МАРИУПОЛЬ, Г. МАРИУПОЛЬ, Г. МАРИУПОЛЬ, УЛ. КАРПИНСКОГО, Д. 52</t>
  </si>
  <si>
    <t>ООО "МАРТЕХМОНТАЖ"</t>
  </si>
  <si>
    <t>ОБЩЕСТВО С ОГРАНИЧЕННОЙ ОТВЕТСТВЕННОСТЬЮ "МАРТЕХМОНТАЖ"</t>
  </si>
  <si>
    <t>9310010358</t>
  </si>
  <si>
    <t>1239300012016</t>
  </si>
  <si>
    <t>287549, ДОНЕЦКАЯ НАРОДНАЯ РЕСПУБЛИКА, МАРИУПОЛЬ, Г. МАРИУПОЛЬ, Г. МАРИУПОЛЬ, ПР-КТ МЕТАЛЛУРГОВ, Д. 113, КВ. 59</t>
  </si>
  <si>
    <t>ООО "МОНТАЖ-ЭНЕРГО"</t>
  </si>
  <si>
    <t>ОБЩЕСТВО С ОГРАНИЧЕННОЙ ОТВЕТСТВЕННОСТЬЮ "МОНТАЖ-ЭНЕРГО"</t>
  </si>
  <si>
    <t>9310010421</t>
  </si>
  <si>
    <t>1239300012302</t>
  </si>
  <si>
    <t>ООО "МПК ДОНБАСС"</t>
  </si>
  <si>
    <t>ОБЩЕСТВО С ОГРАНИЧЕННОЙ ОТВЕТСТВЕННОСТЬЮ "МПК ДОНБАСС"</t>
  </si>
  <si>
    <t>9310010333</t>
  </si>
  <si>
    <t>1239300011994</t>
  </si>
  <si>
    <t>287501, ДОНЕЦКАЯ НАРОДНАЯ РЕСПУБЛИКА, МАРИУПОЛЬ, Г. МАРИУПОЛЬ, Г. МАРИУПОЛЬ, УЛ. ЭНГЕЛЬСА, Д. 56, ОФИС 24</t>
  </si>
  <si>
    <t>ООО "ПАЛЛАДА"</t>
  </si>
  <si>
    <t>ОБЩЕСТВО С ОГРАНИЧЕННОЙ ОТВЕТСТВЕННОСТЬЮ "ПАЛЛАДА"</t>
  </si>
  <si>
    <t>9310010453</t>
  </si>
  <si>
    <t>1239300012500</t>
  </si>
  <si>
    <t>287549, ДОНЕЦКАЯ НАРОДНАЯ РЕСПУБЛИКА, МАРИУПОЛЬ, Г. МАРИУПОЛЬ, Г. МАРИУПОЛЬ, ПР-КТ МЕТАЛЛУРГОВ, Д. 92</t>
  </si>
  <si>
    <t>ООО "ПСК"</t>
  </si>
  <si>
    <t>ОБЩЕСТВО С ОГРАНИЧЕННОЙ ОТВЕТСТВЕННОСТЬЮ "ПРИАЗОВСКАЯ СТРОИТЕЛЬНАЯ КОМПАНИЯ"</t>
  </si>
  <si>
    <t>9310010245</t>
  </si>
  <si>
    <t>1239300011774</t>
  </si>
  <si>
    <t>ООО "ПРИМОРСКИЙ"</t>
  </si>
  <si>
    <t>ОБЩЕСТВО С ОГРАНИЧЕННОЙ ОТВЕТСТВЕННОСТЬЮ "ПРИМОРСКИЙ"</t>
  </si>
  <si>
    <t>9310010277</t>
  </si>
  <si>
    <t>1239300011829</t>
  </si>
  <si>
    <t>287501, ДОНЕЦКАЯ НАРОДНАЯ РЕСПУБЛИКА, МАРИУПОЛЬ, Г. МАРИУПОЛЬ, Г. МАРИУПОЛЬ, ПР-КТ СТРОИТЕЛЕЙ, Д. 69</t>
  </si>
  <si>
    <t>ООО "СВИТ"</t>
  </si>
  <si>
    <t>ОБЩЕСТВО С ОГРАНИЧЕННОЙ ОТВЕТСТВЕННОСТЬЮ "СВИТ"</t>
  </si>
  <si>
    <t>9310010238</t>
  </si>
  <si>
    <t>1239300011763</t>
  </si>
  <si>
    <t>ДОНЕЦКАЯ НАРОДНАЯ РЕСПУБЛИКА, МАРИУПОЛЬ, Г. МАРИУПОЛЬ, Г. МАРИУПОЛЬ, УЛ. КАЛЬМИУССКАЯ, Д. 143</t>
  </si>
  <si>
    <t>ООО "СМАЙЛ"</t>
  </si>
  <si>
    <t>ОБЩЕСТВО С ОГРАНИЧЕННОЙ ОТВЕТСТВЕННОСТЬЮ "СМАЙЛ"</t>
  </si>
  <si>
    <t>9310010407</t>
  </si>
  <si>
    <t>1239300012236</t>
  </si>
  <si>
    <t>ООО "СК "ВИКА"</t>
  </si>
  <si>
    <t>ОБЩЕСТВО С ОГРАНИЧЕННОЙ ОТВЕТСТВЕННОСТЬЮ "СТРОИТЕЛЬНАЯ КОМПАНИЯ "ВИКА"</t>
  </si>
  <si>
    <t>9309026258</t>
  </si>
  <si>
    <t>1239300012050</t>
  </si>
  <si>
    <t>ДОНЕЦКАЯ НАРОДНАЯ РЕСПУБЛИКА, МАРИУПОЛЬ, Г. МАРИУПОЛЬ, Г. МАРИУПОЛЬ, ПР-КТ НАХИМОВА, Д. 92, ПОМЕЩ. 23</t>
  </si>
  <si>
    <t>ООО "ТОРГОВЫЙ ПАРТНЕР "АЛЬЯНС"</t>
  </si>
  <si>
    <t>ОБЩЕСТВО С ОГРАНИЧЕННОЙ ОТВЕТСТВЕННОСТЬЮ "ТОРГОВЫЙ ПАРТНЕР "АЛЬЯНС"</t>
  </si>
  <si>
    <t>9310010365</t>
  </si>
  <si>
    <t>1239300012115</t>
  </si>
  <si>
    <t>ООО "ТРИЕСТ"</t>
  </si>
  <si>
    <t>ОБЩЕСТВО С ОГРАНИЧЕННОЙ ОТВЕТСТВЕННОСТЬЮ "ТРИЕСТ"</t>
  </si>
  <si>
    <t>9310010260</t>
  </si>
  <si>
    <t>1239300011818</t>
  </si>
  <si>
    <t>ООО"ТРИУМФ"</t>
  </si>
  <si>
    <t>ОБЩЕСТВО С ОГРАНИЧЕННОЙ ОТВЕТСТВЕННОСТЬЮ "ТРИУМФ"</t>
  </si>
  <si>
    <t>9310010132</t>
  </si>
  <si>
    <t>1239300011521</t>
  </si>
  <si>
    <t>287501, ДОНЕЦКАЯ НАРОДНАЯ РЕСПУБЛИКА, МАРИУПОЛЬ, Г. МАРИУПОЛЬ, Г. МАРИУПОЛЬ, УЛ. ЭНГЕЛЬСА, Д. 56, ОФИС 23</t>
  </si>
  <si>
    <t>ООО "ЮГ-ТОРГ"</t>
  </si>
  <si>
    <t>ОБЩЕСТВО С ОГРАНИЧЕННОЙ ОТВЕТСТВЕННОСТЬЮ "ЮГ-ТОРГ"</t>
  </si>
  <si>
    <t>9310010414</t>
  </si>
  <si>
    <t>1239300012247</t>
  </si>
  <si>
    <t>287501, ДОНЕЦКАЯ НАРОДНАЯ РЕСПУБЛИКА, МАРИУПОЛЬ, Г. МАРИУПОЛЬ, Г. МАРИУПОЛЬ, Б-Р БОГДАНА ХМЕЛЬНИЦКОГО, Д. 2, КВ. 54</t>
  </si>
  <si>
    <t>ООО "ЮМ-СК"</t>
  </si>
  <si>
    <t>ОБЩЕСТВО С ОГРАНИЧЕННОЙ ОТВЕТСТВЕННОСТЬЮ "ЮМ-СК"</t>
  </si>
  <si>
    <t>9310010213</t>
  </si>
  <si>
    <t>1239300011719</t>
  </si>
  <si>
    <t>ДОНЕЦКАЯ НАРОДНАЯ РЕСПУБЛИКА, МАРИУПОЛЬ, Г. МАРИУПОЛЬ, Г. МАРИУПОЛЬ, ПЕР. СЕМЕНИШИНА, Д. 10</t>
  </si>
  <si>
    <t>ООО "ДИА"</t>
  </si>
  <si>
    <t>ОБЩЕСТВО С ОГРАНИЧЕННОЙ ОТВЕТСТВЕННОСТЬЮ  "ДИА"</t>
  </si>
  <si>
    <t>9310010742</t>
  </si>
  <si>
    <t>1239300014051</t>
  </si>
  <si>
    <t>287537, ДОНЕЦКАЯ НАРОДНАЯ РЕСПУБЛИКА, МАРИУПОЛЬ, Г. МАРИУПОЛЬ, Г. МАРИУПОЛЬ, УЛ. КАРЛА ЛИБКНЕХТА, Д. 177</t>
  </si>
  <si>
    <t>ООО "АЗОВФАРМ"</t>
  </si>
  <si>
    <t>ОБЩЕСТВО С ОГРАНИЧЕННОЙ ОТВЕТСТВЕННОСТЬЮ "АЗОВФАРМ"</t>
  </si>
  <si>
    <t>9310010492</t>
  </si>
  <si>
    <t>1239300012643</t>
  </si>
  <si>
    <t>ДОНЕЦКАЯ НАРОДНАЯ РЕСПУБЛИКА, МАРИУПОЛЬ, Г. МАРИУПОЛЬ, Г. МАРИУПОЛЬ, ПР-КТ ЛЕНИНА, Д. 45</t>
  </si>
  <si>
    <t>ООО "БАФ СТУДИЯ"</t>
  </si>
  <si>
    <t>ОБЩЕСТВО С ОГРАНИЧЕННОЙ ОТВЕТСТВЕННОСТЬЮ "БАФ СТУДИЯ"</t>
  </si>
  <si>
    <t>9310010823</t>
  </si>
  <si>
    <t>1239300013996</t>
  </si>
  <si>
    <t>287557, ДОНЕЦКАЯ НАРОДНАЯ РЕСПУБЛИКА, МАРИУПОЛЬ, Г. МАРИУПОЛЬ, Г. МАРИУПОЛЬ, ПЕР. РОВЕНСКИЙ, Д. 17, КВ. 29</t>
  </si>
  <si>
    <t>ООО "ВКУСВИК"</t>
  </si>
  <si>
    <t>ОБЩЕСТВО С ОГРАНИЧЕННОЙ ОТВЕТСТВЕННОСТЬЮ "ВКУСВИК"</t>
  </si>
  <si>
    <t>9310010750</t>
  </si>
  <si>
    <t>1239300014095</t>
  </si>
  <si>
    <t>287549, ДОНЕЦКАЯ НАРОДНАЯ РЕСПУБЛИКА, МАРИУПОЛЬ, Г. МАРИУПОЛЬ, Г. МАРИУПОЛЬ, ПР-КТ МЕТАЛЛУРГОВ, Д. 102</t>
  </si>
  <si>
    <t>ООО "ГАСТРО ГРУПП"</t>
  </si>
  <si>
    <t>ОБЩЕСТВО С ОГРАНИЧЕННОЙ ОТВЕТСТВЕННОСТЬЮ "ГАСТРО ГРУПП"</t>
  </si>
  <si>
    <t>9310010478</t>
  </si>
  <si>
    <t>1239300012600</t>
  </si>
  <si>
    <t>287549, ДОНЕЦКАЯ НАРОДНАЯ РЕСПУБЛИКА, МАРИУПОЛЬ, Г. МАРИУПОЛЬ, Г. МАРИУПОЛЬ, Б-Р ШЕВЧЕНКО, Д. 285А</t>
  </si>
  <si>
    <t>ООО "ГРОТ-ЭКС"</t>
  </si>
  <si>
    <t>ОБЩЕСТВО С ОГРАНИЧЕННОЙ ОТВЕТСТВЕННОСТЬЮ "ГРОТ-ЭКС"</t>
  </si>
  <si>
    <t>9310010485</t>
  </si>
  <si>
    <t>1239300012632</t>
  </si>
  <si>
    <t>ДОНЕЦКАЯ НАРОДНАЯ РЕСПУБЛИКА, МАРИУПОЛЬ, Г. МАРИУПОЛЬ, Г. МАРИУПОЛЬ, ПР-КТ МЕТАЛЛУРГОВ, Д. 235</t>
  </si>
  <si>
    <t>ООО "ДАВ"</t>
  </si>
  <si>
    <t>ОБЩЕСТВО С ОГРАНИЧЕННОЙ ОТВЕТСТВЕННОСТЬЮ "ДАВ"</t>
  </si>
  <si>
    <t>9310010767</t>
  </si>
  <si>
    <t>1239300014139</t>
  </si>
  <si>
    <t>ООО "ДИПЛОМАТ-СТАНДАРТ"</t>
  </si>
  <si>
    <t>ОБЩЕСТВО С ОГРАНИЧЕННОЙ ОТВЕТСТВЕННОСТЬЮ "ДИПЛОМАТ-СТАНДАРТ"</t>
  </si>
  <si>
    <t>9310010559</t>
  </si>
  <si>
    <t>1239300012896</t>
  </si>
  <si>
    <t>287501, ДОНЕЦКАЯ НАРОДНАЯ РЕСПУБЛИКА, МАРИУПОЛЬ, Г. МАРИУПОЛЬ, Г. МАРИУПОЛЬ, УЛ. ЛАВИЦКОГО, Д. 9, ОФИС 2</t>
  </si>
  <si>
    <t>ООО "ДОНСТАНМЕТ"</t>
  </si>
  <si>
    <t>ОБЩЕСТВО С ОГРАНИЧЕННОЙ ОТВЕТСТВЕННОСТЬЮ "ДОНСТАНМЕТ"</t>
  </si>
  <si>
    <t>9310010799</t>
  </si>
  <si>
    <t>1239300014227</t>
  </si>
  <si>
    <t>ООО "ДОРОГАНЬ"</t>
  </si>
  <si>
    <t>ОБЩЕСТВО С ОГРАНИЧЕННОЙ ОТВЕТСТВЕННОСТЬЮ "ДОРОГАНЬ"</t>
  </si>
  <si>
    <t>9310010781</t>
  </si>
  <si>
    <t>1239300014216</t>
  </si>
  <si>
    <t>ДОНЕЦКАЯ НАРОДНАЯ РЕСПУБЛИКА, МАРИУПОЛЬ, Г. МАРИУПОЛЬ, Г. МАРИУПОЛЬ, ПЕР. НОВОРОССИЙСКИЙ, Д. 69А</t>
  </si>
  <si>
    <t>ООО "ДОРСТРОЙМОНТАЖ"</t>
  </si>
  <si>
    <t>ОБЩЕСТВО С ОГРАНИЧЕННОЙ ОТВЕТСТВЕННОСТЬЮ "ДОРСТРОЙМОНТАЖ"</t>
  </si>
  <si>
    <t>9310010647</t>
  </si>
  <si>
    <t>1239300013578</t>
  </si>
  <si>
    <t>ДОНЕЦКАЯ НАРОДНАЯ РЕСПУБЛИКА, МАРИУПОЛЬ, Г. МАРИУПОЛЬ, Г. МАРИУПОЛЬ, УЛ. КРАСНОФЛОТСКАЯ, Д. 125Г</t>
  </si>
  <si>
    <t>ООО "ЗОЛОТАЯ КОМПАНИЯ"</t>
  </si>
  <si>
    <t>ОБЩЕСТВО С ОГРАНИЧЕННОЙ ОТВЕТСТВЕННОСТЬЮ "ЗОЛОТАЯ КОМПАНИЯ"</t>
  </si>
  <si>
    <t>9310010816</t>
  </si>
  <si>
    <t>1239300013985</t>
  </si>
  <si>
    <t>287537, ДОНЕЦКАЯ НАРОДНАЯ РЕСПУБЛИКА, МАРИУПОЛЬ, Г. МАРИУПОЛЬ, Г. МАРИУПОЛЬ, УЛ. БАХЧИВАНДЖИ, Д. 27А, КВ. 67</t>
  </si>
  <si>
    <t>ООО "КМД"</t>
  </si>
  <si>
    <t>ОБЩЕСТВО С ОГРАНИЧЕННОЙ ОТВЕТСТВЕННОСТЬЮ "КМД"</t>
  </si>
  <si>
    <t>9310010735</t>
  </si>
  <si>
    <t>1239300013908</t>
  </si>
  <si>
    <t>ДОНЕЦКАЯ НАРОДНАЯ РЕСПУБЛИКА, МАРИУПОЛЬ, Г. МАРИУПОЛЬ, Г. МАРИУПОЛЬ, ПР-КТ ТУЛЬСКИЙ, Д. 126, ПОМЕЩ. 1</t>
  </si>
  <si>
    <t>ООО "КОРЗИНКА"</t>
  </si>
  <si>
    <t>ОБЩЕСТВО С ОГРАНИЧЕННОЙ ОТВЕТСТВЕННОСТЬЮ "КОРЗИНКА"</t>
  </si>
  <si>
    <t>9310010855</t>
  </si>
  <si>
    <t>1239300014271</t>
  </si>
  <si>
    <t>287504, ДОНЕЦКАЯ НАРОДНАЯ РЕСПУБЛИКА, МАРИУПОЛЬ, Г. МАРИУПОЛЬ, Г. МАРИУПОЛЬ, УЛ. ДОСТОЕВСКОГО, Д. 4</t>
  </si>
  <si>
    <t>ООО "КРАСНЫЙ ДРАКОН"</t>
  </si>
  <si>
    <t>ОБЩЕСТВО С ОГРАНИЧЕННОЙ ОТВЕТСТВЕННОСТЬЮ "КРАСНЫЙ ДРАКОН"</t>
  </si>
  <si>
    <t>9310010510</t>
  </si>
  <si>
    <t>1239300012753</t>
  </si>
  <si>
    <t>ДОНЕЦКАЯ НАРОДНАЯ РЕСПУБЛИКА, МАРИУПОЛЬ, Г. МАРИУПОЛЬ, Г. МАРИУПОЛЬ, УЛ. БЛАЖЕВИЧА, Д. 67А</t>
  </si>
  <si>
    <t>ООО "МИХЕЙ И КО"</t>
  </si>
  <si>
    <t>ОБЩЕСТВО С ОГРАНИЧЕННОЙ ОТВЕТСТВЕННОСТЬЮ "МИХЕЙ И КО"</t>
  </si>
  <si>
    <t>9310010608</t>
  </si>
  <si>
    <t>1239300013292</t>
  </si>
  <si>
    <t>287512, ДОНЕЦКАЯ НАРОДНАЯ РЕСПУБЛИКА, МАРИУПОЛЬ, Г. МАРИУПОЛЬ, Г. МАРИУПОЛЬ, Ш. ВОЛОДАРСКОЕ, Д. 37</t>
  </si>
  <si>
    <t>ООО "МЛЕКО"</t>
  </si>
  <si>
    <t>ОБЩЕСТВО С ОГРАНИЧЕННОЙ ОТВЕТСТВЕННОСТЬЮ "МЛЕКО"</t>
  </si>
  <si>
    <t>9310010848</t>
  </si>
  <si>
    <t>1239300014250</t>
  </si>
  <si>
    <t>ООО "ММИГС"</t>
  </si>
  <si>
    <t>ОБЩЕСТВО С ОГРАНИЧЕННОЙ ОТВЕТСТВЕННОСТЬЮ "ММИГС"</t>
  </si>
  <si>
    <t>9310010661</t>
  </si>
  <si>
    <t>1239300013611</t>
  </si>
  <si>
    <t>287557, ДОНЕЦКАЯ НАРОДНАЯ РЕСПУБЛИКА, МАРИУПОЛЬ, Г. МАРИУПОЛЬ, Г. МАРИУПОЛЬ, УЛ. 9 МАЯ, Д. 20, КВ. 147</t>
  </si>
  <si>
    <t>ООО "МОНОСТРОЙ-1"</t>
  </si>
  <si>
    <t>ОБЩЕСТВО С ОГРАНИЧЕННОЙ ОТВЕТСТВЕННОСТЬЮ "МОНОСТРОЙ-1"</t>
  </si>
  <si>
    <t>9310010654</t>
  </si>
  <si>
    <t>1239300013589</t>
  </si>
  <si>
    <t>ДОНЕЦКАЯ НАРОДНАЯ РЕСПУБЛИКА, МАРИУПОЛЬ, Г. МАРИУПОЛЬ, Г. МАРИУПОЛЬ, ПР-КТ НАХИМОВА, Д. 116А</t>
  </si>
  <si>
    <t>ООО "ОЛИМП"</t>
  </si>
  <si>
    <t>ОБЩЕСТВО С ОГРАНИЧЕННОЙ ОТВЕТСТВЕННОСТЬЮ "ОЛИМП"</t>
  </si>
  <si>
    <t>9310010622</t>
  </si>
  <si>
    <t>1239300013512</t>
  </si>
  <si>
    <t>287549, ДОНЕЦКАЯ НАРОДНАЯ РЕСПУБЛИКА, МАРИУПОЛЬ, Г. МАРИУПОЛЬ, Г. МАРИУПОЛЬ, УЛ. ГРЕЧЕСКАЯ, Д. 206, ПОМЕЩ. 12</t>
  </si>
  <si>
    <t>ООО "ОСС"</t>
  </si>
  <si>
    <t>ОБЩЕСТВО С ОГРАНИЧЕННОЙ ОТВЕТСТВЕННОСТЬЮ "ОСС"</t>
  </si>
  <si>
    <t>9310010580</t>
  </si>
  <si>
    <t>1239300013226</t>
  </si>
  <si>
    <t>ДОНЕЦКАЯ НАРОДНАЯ РЕСПУБЛИКА, МАРИУПОЛЬ, Г. МАРИУПОЛЬ, Г. МАРИУПОЛЬ, УЛ. БАХЧИВАНДЖИ, Д. 55, ПОМЕЩ. 2</t>
  </si>
  <si>
    <t>ООО "РОСТ"</t>
  </si>
  <si>
    <t>ОБЩЕСТВО С ОГРАНИЧЕННОЙ ОТВЕТСТВЕННОСТЬЮ "РОСТ"</t>
  </si>
  <si>
    <t>9310010527</t>
  </si>
  <si>
    <t>1239300012830</t>
  </si>
  <si>
    <t>287501, ДОНЕЦКАЯ НАРОДНАЯ РЕСПУБЛИКА, МАРИУПОЛЬ, Г. МАРИУПОЛЬ, Г. МАРИУПОЛЬ, ПР-КТ НАХИМОВА, Д. 99, КВ. 77</t>
  </si>
  <si>
    <t>ООО "РУСТЭК"</t>
  </si>
  <si>
    <t>ОБЩЕСТВО С ОГРАНИЧЕННОЙ ОТВЕТСТВЕННОСТЬЮ "РУСТЭК"</t>
  </si>
  <si>
    <t>9310010728</t>
  </si>
  <si>
    <t>1239300013853</t>
  </si>
  <si>
    <t>ДОНЕЦКАЯ НАРОДНАЯ РЕСПУБЛИКА, МАРИУПОЛЬ, Г. МАРИУПОЛЬ, Г. МАРИУПОЛЬ, ПЕР. ЧИГОРИНА, Д. 24, КОМ. 7</t>
  </si>
  <si>
    <t>ООО "СЕРЕНАДА"</t>
  </si>
  <si>
    <t>ОБЩЕСТВО С ОГРАНИЧЕННОЙ ОТВЕТСТВЕННОСТЬЮ "СЕРЕНАДА"</t>
  </si>
  <si>
    <t>9310010774</t>
  </si>
  <si>
    <t>1239300014172</t>
  </si>
  <si>
    <t>ДОНЕЦКАЯ НАРОДНАЯ РЕСПУБЛИКА, МАРИУПОЛЬ, Г. МАРИУПОЛЬ, Г. МАРИУПОЛЬ, УЛ. ПЕРВОМАЙСКАЯ, Д. 21, КВ. 21</t>
  </si>
  <si>
    <t>ООО "СИТИАВА"</t>
  </si>
  <si>
    <t>ОБЩЕСТВО С ОГРАНИЧЕННОЙ ОТВЕТСТВЕННОСТЬЮ "СИТИАВА"</t>
  </si>
  <si>
    <t>9310010710</t>
  </si>
  <si>
    <t>1239300013776</t>
  </si>
  <si>
    <t>287504, ДОНЕЦКАЯ НАРОДНАЯ РЕСПУБЛИКА, МАРИУПОЛЬ, Г. МАРИУПОЛЬ, Г. МАРИУПОЛЬ, ПЕР. КЛЮЧЕВОЙ, Д. 50</t>
  </si>
  <si>
    <t>ООО "УСПЕХ"</t>
  </si>
  <si>
    <t>ОБЩЕСТВО С ОГРАНИЧЕННОЙ ОТВЕТСТВЕННОСТЬЮ "УСПЕХ"</t>
  </si>
  <si>
    <t>9310010573</t>
  </si>
  <si>
    <t>1239300013116</t>
  </si>
  <si>
    <t>287527, ДОНЕЦКАЯ НАРОДНАЯ РЕСПУБЛИКА, МАРИУПОЛЬ, Г. МАРИУПОЛЬ, Г. МАРИУПОЛЬ, УЛ. САДОВАЯ, Д. 3А</t>
  </si>
  <si>
    <t>ООО "ФУДПРАЙМ"</t>
  </si>
  <si>
    <t>ОБЩЕСТВО С ОГРАНИЧЕННОЙ ОТВЕТСТВЕННОСТЬЮ "ФУДПРАЙМ"</t>
  </si>
  <si>
    <t>9310010502</t>
  </si>
  <si>
    <t>1239300012710</t>
  </si>
  <si>
    <t>ДОНЕЦКАЯ НАРОДНАЯ РЕСПУБЛИКА, МАРИУПОЛЬ, Г. МАРИУПОЛЬ, Г. МАРИУПОЛЬ, УЛ. ВОИНОВ-ОСВОБОДИТЕЛЕЙ, Д. 94, КВ. 1</t>
  </si>
  <si>
    <t>ООО "ХАРЧЕНКО"</t>
  </si>
  <si>
    <t>ОБЩЕСТВО С ОГРАНИЧЕННОЙ ОТВЕТСТВЕННОСТЬЮ "ХАРЧЕНКО"</t>
  </si>
  <si>
    <t>9310010630</t>
  </si>
  <si>
    <t>1239300013556</t>
  </si>
  <si>
    <t>287510, ДОНЕЦКАЯ НАРОДНАЯ РЕСПУБЛИКА, МАРИУПОЛЬ, Г. МАРИУПОЛЬ, Г. МАРИУПОЛЬ, ПР-КТ СТРОИТЕЛЕЙ, Д. 21/21, ПОМЕЩ. 2</t>
  </si>
  <si>
    <t>ООО "ЮГВТОРМЕТ"</t>
  </si>
  <si>
    <t>ОБЩЕСТВО С ОГРАНИЧЕННОЙ ОТВЕТСТВЕННОСТЬЮ "ЮГВТОРМЕТ"</t>
  </si>
  <si>
    <t>9310010534</t>
  </si>
  <si>
    <t>1239300012852</t>
  </si>
  <si>
    <t>ДОНЕЦКАЯ НАРОДНАЯ РЕСПУБЛИКА, МАРИУПОЛЬ, Г. МАРИУПОЛЬ, Г. МАРИУПОЛЬ, УЛ. ОЛИМПИЙСКАЯ, Д. 177, ОФИС 3</t>
  </si>
  <si>
    <t>СНТ "ТЕХНОЛОГ"</t>
  </si>
  <si>
    <t>САДОВОДЧЕСКОЕ НЕКОММЕРЧЕСКОЕ ТОВАРИЩЕСТВО "ТЕХНОЛОГ"</t>
  </si>
  <si>
    <t>9310010862</t>
  </si>
  <si>
    <t>1239300014348</t>
  </si>
  <si>
    <t>287549, ДОНЕЦКАЯ НАРОДНАЯ РЕСПУБЛИКА, МАРИУПОЛЬ, Г. МАРИУПОЛЬ, Г. МАРИУПОЛЬ, Б-Р ШЕВЧЕНКО, Д. 258, КВ. 96</t>
  </si>
  <si>
    <t>СОЮЗ "ПРОЕКТИРОВЩИКИ ДОНБАССА"</t>
  </si>
  <si>
    <t>9310010679</t>
  </si>
  <si>
    <t>1239300013644</t>
  </si>
  <si>
    <t>ДОНЕЦКАЯ НАРОДНАЯ РЕСПУБЛИКА, МАРИУПОЛЬ, Г. МАРИУПОЛЬ, Г. МАРИУПОЛЬ, УЛ. ВУЗОВСКАЯ, Д. 2</t>
  </si>
  <si>
    <t>СОЮЗ "СТРОИТЕЛИ ДОНБАССА"</t>
  </si>
  <si>
    <t>9310010686</t>
  </si>
  <si>
    <t>1239300013655</t>
  </si>
  <si>
    <t>ООО "ШУБИН"</t>
  </si>
  <si>
    <t>ОБЩЕСТВО С ОГРАНИЧЕННОЙ ОТВЕТСТВЕННОСТЬЮ "ШУБИН"</t>
  </si>
  <si>
    <t>9310011009</t>
  </si>
  <si>
    <t>1239300015096</t>
  </si>
  <si>
    <t>ДОНЕЦКАЯ НАРОДНАЯ РЕСПУБЛИКА, МАРИУПОЛЬ, Г. МАРИУПОЛЬ, Г. МАРИУПОЛЬ, ПР-КТ СТРОИТЕЛЕЙ, Д. 85</t>
  </si>
  <si>
    <t>ООО "УДАЧА"</t>
  </si>
  <si>
    <t>ОБЩЕСТВО С ОГРАНИЧЕННОЙ ОТВЕТСТВЕННОСТЬЮ "УДАЧА"</t>
  </si>
  <si>
    <t>9310010911</t>
  </si>
  <si>
    <t>1239300014744</t>
  </si>
  <si>
    <t>ДОНЕЦКАЯ НАРОДНАЯ РЕСПУБЛИКА, МАРИУПОЛЬ, Г. МАРИУПОЛЬ, Г. МАРИУПОЛЬ, УЛ. РОВНАЯ, Д. 109</t>
  </si>
  <si>
    <t>АНО УМЦ "ЭКСПЕРТ"</t>
  </si>
  <si>
    <t>АВТОНОМНАЯ НЕКОММЕРЧЕСКАЯ ОРГАНИЗАЦИЯ УЧЕБНО-МЕТОДИЧЕСКИЙ ЦЕНТР "ЭКСПЕРТ"</t>
  </si>
  <si>
    <t>9310011111</t>
  </si>
  <si>
    <t>1239300015822</t>
  </si>
  <si>
    <t>МЕСТНАЯ РЕЛИГИОЗНАЯ ОРГАНИЗАЦИЯ МУСУЛЬМАН "НУР АЛЬ ИСЛАМ" (СВЕТ ИСЛАМА) Г. МАРИУПОЛЯ ДОНЕЦКОЙ НАРОДНОЙ РЕСПУБЛИКИ</t>
  </si>
  <si>
    <t>9310011295</t>
  </si>
  <si>
    <t>1239300016856</t>
  </si>
  <si>
    <t>ДОНЕЦКАЯ НАРОДНАЯ РЕСПУБЛИКА, МАРИУПОЛЬ, Г. МАРИУПОЛЬ, Г. МАРИУПОЛЬ, ПР-КТ НАХИМОВА, Д. 41А</t>
  </si>
  <si>
    <t>ОБЩЕСТВО С ОГРАНИЧЕННОЙ ОТВЕТСТВЕННОСТЬЮ  "УДАЧА"</t>
  </si>
  <si>
    <t>9310011048</t>
  </si>
  <si>
    <t>1239300015404</t>
  </si>
  <si>
    <t>287512, ДОНЕЦКАЯ НАРОДНАЯ РЕСПУБЛИКА, МАРИУПОЛЬ, Г. МАРИУПОЛЬ, Г. МАРИУПОЛЬ, УЛ. 50 ЛЕТ СССР, Д. 65, КВ. 16</t>
  </si>
  <si>
    <t>ООО "АБСОЛЮТ"</t>
  </si>
  <si>
    <t>ОБЩЕСТВО С ОГРАНИЧЕННОЙ ОТВЕТСТВЕННОСТЬЮ "АБСОЛЮТ"</t>
  </si>
  <si>
    <t>9310011104</t>
  </si>
  <si>
    <t>1239300015668</t>
  </si>
  <si>
    <t>ООО "АЗОВ ЭЛЕКТРОЭЛЕМЕНТ"</t>
  </si>
  <si>
    <t>ОБЩЕСТВО С ОГРАНИЧЕННОЙ ОТВЕТСТВЕННОСТЬЮ "АЗОВ ЭЛЕКТРОЭЛЕМЕНТ"</t>
  </si>
  <si>
    <t>9310010990</t>
  </si>
  <si>
    <t>1239300015052</t>
  </si>
  <si>
    <t>287501, ДОНЕЦКАЯ НАРОДНАЯ РЕСПУБЛИКА, МАРИУПОЛЬ, Г. МАРИУПОЛЬ, Г. МАРИУПОЛЬ, УЛ. ЭНГЕЛЬСА, Д. 56, ПОМЕЩ. 48</t>
  </si>
  <si>
    <t>ООО "БИГАЗ ИНЖИНИРИНГ"</t>
  </si>
  <si>
    <t>ОБЩЕСТВО С ОГРАНИЧЕННОЙ ОТВЕТСТВЕННОСТЬЮ "БИГАЗ ИНЖИНИРИНГ"</t>
  </si>
  <si>
    <t>9310011182</t>
  </si>
  <si>
    <t>1239300016251</t>
  </si>
  <si>
    <t>287549, ДОНЕЦКАЯ НАРОДНАЯ РЕСПУБЛИКА, МАРИУПОЛЬ, Г. МАРИУПОЛЬ, Г. МАРИУПОЛЬ, УЛ. АРТЁМА, Д. 58, КВ. 55</t>
  </si>
  <si>
    <t>ООО "БСК"</t>
  </si>
  <si>
    <t>ОБЩЕСТВО С ОГРАНИЧЕННОЙ ОТВЕТСТВЕННОСТЬЮ "БСК"</t>
  </si>
  <si>
    <t>9310011217</t>
  </si>
  <si>
    <t>1239300016340</t>
  </si>
  <si>
    <t>287541, ДОНЕЦКАЯ НАРОДНАЯ РЕСПУБЛИКА, МАРИУПОЛЬ, Г. МАРИУПОЛЬ, Г. МАРИУПОЛЬ, Б-Р 50 ЛЕТ ОКТЯБРЯ, Д. 21/43, ОФИС 1</t>
  </si>
  <si>
    <t>ООО "БУДУЩЕЕ ЗА НАМИ"</t>
  </si>
  <si>
    <t>ОБЩЕСТВО С ОГРАНИЧЕННОЙ ОТВЕТСТВЕННОСТЬЮ "БУДУЩЕЕ ЗА НАМИ"</t>
  </si>
  <si>
    <t>9310010950</t>
  </si>
  <si>
    <t>1239300014931</t>
  </si>
  <si>
    <t>ДОНЕЦКАЯ НАРОДНАЯ РЕСПУБЛИКА, МАРИУПОЛЬ, Г. МАРИУПОЛЬ, Г. МАРИУПОЛЬ, ПР-КТ МЕТАЛЛУРГОВ, Д. 92А, ПОМЕЩ. 17</t>
  </si>
  <si>
    <t>ООО "ГОНЧАРОВА А.А."</t>
  </si>
  <si>
    <t>ОБЩЕСТВО С ОГРАНИЧЕННОЙ ОТВЕТСТВЕННОСТЬЮ "ГОНЧАРОВА А.А."</t>
  </si>
  <si>
    <t>9310011175</t>
  </si>
  <si>
    <t>1239300016218</t>
  </si>
  <si>
    <t>ДОНЕЦКАЯ НАРОДНАЯ РЕСПУБЛИКА, МАРИУПОЛЬ, Г. МАРИУПОЛЬ, Г. МАРИУПОЛЬ, УЛ. УРИЦКОГО, Д. 102, КВ. 32</t>
  </si>
  <si>
    <t>ООО "ГРАНПРИ"</t>
  </si>
  <si>
    <t>ОБЩЕСТВО С ОГРАНИЧЕННОЙ ОТВЕТСТВЕННОСТЬЮ "ГРАНПРИ"</t>
  </si>
  <si>
    <t>9310011288</t>
  </si>
  <si>
    <t>1239300016834</t>
  </si>
  <si>
    <t>ДОНЕЦКАЯ НАРОДНАЯ РЕСПУБЛИКА, МАРИУПОЛЬ, Г. МАРИУПОЛЬ, Г. МАРИУПОЛЬ, ПР-КТ ТУЛЬСКИЙ, Д. 30, ПОМЕЩ. 1</t>
  </si>
  <si>
    <t>ООО "ЗАЗЕРКАЛЬЕ"</t>
  </si>
  <si>
    <t>ОБЩЕСТВО С ОГРАНИЧЕННОЙ ОТВЕТСТВЕННОСТЬЮ "ЗАЗЕРКАЛЬЕ"</t>
  </si>
  <si>
    <t>9310011070</t>
  </si>
  <si>
    <t>1239300015525</t>
  </si>
  <si>
    <t>287512, ДОНЕЦКАЯ НАРОДНАЯ РЕСПУБЛИКА, МАРИУПОЛЬ, Г. МАРИУПОЛЬ, Г. МАРИУПОЛЬ, УЛ. 50 ЛЕТ СССР, Д. 44, ПОМЕЩ. 130</t>
  </si>
  <si>
    <t>ООО "ИЗУМРУД"</t>
  </si>
  <si>
    <t>ОБЩЕСТВО С ОГРАНИЧЕННОЙ ОТВЕТСТВЕННОСТЬЮ "ИЗУМРУД"</t>
  </si>
  <si>
    <t>9310011168</t>
  </si>
  <si>
    <t>1239300016185</t>
  </si>
  <si>
    <t>287512, ДОНЕЦКАЯ НАРОДНАЯ РЕСПУБЛИКА, МАРИУПОЛЬ, Г. МАРИУПОЛЬ, Г. МАРИУПОЛЬ, УЛ. 50 ЛЕТ СССР, Д. 20, КВ. 135</t>
  </si>
  <si>
    <t>ООО "КОМПАНИЯ ТАЖЕ"</t>
  </si>
  <si>
    <t>ОБЩЕСТВО С ОГРАНИЧЕННОЙ ОТВЕТСТВЕННОСТЬЮ "КОМПАНИЯ ТАЖЕ"</t>
  </si>
  <si>
    <t>9310011231</t>
  </si>
  <si>
    <t>1239300016680</t>
  </si>
  <si>
    <t>ДОНЕЦКАЯ НАРОДНАЯ РЕСПУБЛИКА, МАРИУПОЛЬ, Г. МАРИУПОЛЬ, Г. МАРИУПОЛЬ, ПР-КТ ЛЕНИНА, Д. 99А</t>
  </si>
  <si>
    <t>ООО "ЛИГА"</t>
  </si>
  <si>
    <t>ОБЩЕСТВО С ОГРАНИЧЕННОЙ ОТВЕТСТВЕННОСТЬЮ "ЛИГА"</t>
  </si>
  <si>
    <t>9310011136</t>
  </si>
  <si>
    <t>1239300016020</t>
  </si>
  <si>
    <t>ДОНЕЦКАЯ НАРОДНАЯ РЕСПУБЛИКА, МАРИУПОЛЬ, Г. МАРИУПОЛЬ, Г. МАРИУПОЛЬ, УЛ. ОЛИМПИЙСКАЯ, Д. 61А, КОМ. 22</t>
  </si>
  <si>
    <t>ООО "МАЖОР"</t>
  </si>
  <si>
    <t>ОБЩЕСТВО С ОГРАНИЧЕННОЙ ОТВЕТСТВЕННОСТЬЮ "МАЖОР"</t>
  </si>
  <si>
    <t>9310011016</t>
  </si>
  <si>
    <t>1239300015129</t>
  </si>
  <si>
    <t>287521, ДОНЕЦКАЯ НАРОДНАЯ РЕСПУБЛИКА, МАРИУПОЛЬ, Г. МАРИУПОЛЬ, Г. МАРИУПОЛЬ, УЛ. НОВОРОССИЙСКАЯ, Д. 10, КВ. 99</t>
  </si>
  <si>
    <t>ООО "МАКСИМУМ"</t>
  </si>
  <si>
    <t>ОБЩЕСТВО С ОГРАНИЧЕННОЙ ОТВЕТСТВЕННОСТЬЮ "МАКСИМУМ"</t>
  </si>
  <si>
    <t>9310010982</t>
  </si>
  <si>
    <t>1239300014898</t>
  </si>
  <si>
    <t>ООО "МАРСЕРВИС ПЛЮС"</t>
  </si>
  <si>
    <t>ОБЩЕСТВО С ОГРАНИЧЕННОЙ ОТВЕТСТВЕННОСТЬЮ "МАРСЕРВИС ПЛЮС"</t>
  </si>
  <si>
    <t>9310011129</t>
  </si>
  <si>
    <t>1239300015866</t>
  </si>
  <si>
    <t>287524, ДОНЕЦКАЯ НАРОДНАЯ РЕСПУБЛИКА, МАРИУПОЛЬ, Г. МАРИУПОЛЬ, Г. МАРИУПОЛЬ, УЛ. СЕЧЕНОВА, Д. 69, КВ. 38</t>
  </si>
  <si>
    <t>ООО "МЕДИФАСТ +"</t>
  </si>
  <si>
    <t>ОБЩЕСТВО С ОГРАНИЧЕННОЙ ОТВЕТСТВЕННОСТЬЮ "МЕДИФАСТ +"</t>
  </si>
  <si>
    <t>9310011023</t>
  </si>
  <si>
    <t>1239300015130</t>
  </si>
  <si>
    <t>287557, ДОНЕЦКАЯ НАРОДНАЯ РЕСПУБЛИКА, МАРИУПОЛЬ, Г. МАРИУПОЛЬ, Г. МАРИУПОЛЬ, УЛ. ОЛИМПИЙСКАЯ, Д. 181, КВ. 8</t>
  </si>
  <si>
    <t>ООО "НЕОСОФТ"</t>
  </si>
  <si>
    <t>ОБЩЕСТВО С ОГРАНИЧЕННОЙ ОТВЕТСТВЕННОСТЬЮ "НЕОСОФТ"</t>
  </si>
  <si>
    <t>9310011270</t>
  </si>
  <si>
    <t>1239300016768</t>
  </si>
  <si>
    <t>287549, ДОНЕЦКАЯ НАРОДНАЯ РЕСПУБЛИКА, МАРИУПОЛЬ, Г. МАРИУПОЛЬ, Г. МАРИУПОЛЬ, Б-Р ШЕВЧЕНКО, Д. 262А, ПОМЕЩ. 9</t>
  </si>
  <si>
    <t>ООО "РУДОМЕТКИНА"</t>
  </si>
  <si>
    <t>ОБЩЕСТВО С ОГРАНИЧЕННОЙ ОТВЕТСТВЕННОСТЬЮ "РУДОМЕТКИНА"</t>
  </si>
  <si>
    <t>9310011030</t>
  </si>
  <si>
    <t>1239300015261</t>
  </si>
  <si>
    <t>287526, ДОНЕЦКАЯ НАРОДНАЯ РЕСПУБЛИКА, МАРИУПОЛЬ, Г. МАРИУПОЛЬ, Г. МАРИУПОЛЬ, УЛ. НИКУЛИНА, Д. 65</t>
  </si>
  <si>
    <t>ООО "СЗ ТЕМП-80"</t>
  </si>
  <si>
    <t>ОБЩЕСТВО С ОГРАНИЧЕННОЙ ОТВЕТСТВЕННОСТЬЮ "СПЕЦИАЛИЗИРОВАННЫЙ ЗАСТРОЙЩИК ТЕМП-80"</t>
  </si>
  <si>
    <t>9310011376</t>
  </si>
  <si>
    <t>1239300017230</t>
  </si>
  <si>
    <t>287501, ДОНЕЦКАЯ НАРОДНАЯ РЕСПУБЛИКА, МАРИУПОЛЬ, Г. МАРИУПОЛЬ, Г. МАРИУПОЛЬ, УЛ. ЭНГЕЛЬСА, Д. 56, ОФИС 7</t>
  </si>
  <si>
    <t>ООО "СТЕЛ"</t>
  </si>
  <si>
    <t>ОБЩЕСТВО С ОГРАНИЧЕННОЙ ОТВЕТСТВЕННОСТЬЮ "СТЕЛ"</t>
  </si>
  <si>
    <t>9310010887</t>
  </si>
  <si>
    <t>1239300014645</t>
  </si>
  <si>
    <t>ДОНЕЦКАЯ НАРОДНАЯ РЕСПУБЛИКА, МАРИУПОЛЬ, Г. МАРИУПОЛЬ, Г. МАРИУПОЛЬ, ТЕР. ШМИДТА ГАВАНЬ, Д. 10</t>
  </si>
  <si>
    <t>ООО "СУЛТАН"</t>
  </si>
  <si>
    <t>ОБЩЕСТВО С ОГРАНИЧЕННОЙ ОТВЕТСТВЕННОСТЬЮ "СУЛТАН"</t>
  </si>
  <si>
    <t>9310010936</t>
  </si>
  <si>
    <t>1239300014799</t>
  </si>
  <si>
    <t>287501, ДОНЕЦКАЯ НАРОДНАЯ РЕСПУБЛИКА, МАРИУПОЛЬ, Г. МАРИУПОЛЬ, Г. МАРИУПОЛЬ, УЛ. СПОРТИВНАЯ, Д. 2</t>
  </si>
  <si>
    <t>ООО "ТАЛАН"</t>
  </si>
  <si>
    <t>ОБЩЕСТВО С ОГРАНИЧЕННОЙ ОТВЕТСТВЕННОСТЬЮ "ТАЛАН"</t>
  </si>
  <si>
    <t>9310011224</t>
  </si>
  <si>
    <t>1239300016438</t>
  </si>
  <si>
    <t>287524, ДОНЕЦКАЯ НАРОДНАЯ РЕСПУБЛИКА, МАРИУПОЛЬ, Г. МАРИУПОЛЬ, Г. МАРИУПОЛЬ, УЛ. СЕЧЕНОВА, Д. 63А, ПОМЕЩ. 141</t>
  </si>
  <si>
    <t>ООО "ТОРГОВЫЕ РЯДЫ ЭДЕЛЬВЕЙС"</t>
  </si>
  <si>
    <t>ОБЩЕСТВО С ОГРАНИЧЕННОЙ ОТВЕТСТВЕННОСТЬЮ "ТОРГОВЫЕ РЯДЫ ЭДЕЛЬВЕЙС"</t>
  </si>
  <si>
    <t>9310010904</t>
  </si>
  <si>
    <t>1239300014689</t>
  </si>
  <si>
    <t>ООО "ФАВОРИТ"</t>
  </si>
  <si>
    <t>ОБЩЕСТВО С ОГРАНИЧЕННОЙ ОТВЕТСТВЕННОСТЬЮ "ФАВОРИТ"</t>
  </si>
  <si>
    <t>9310011143</t>
  </si>
  <si>
    <t>1239300016031</t>
  </si>
  <si>
    <t>287537, ДОНЕЦКАЯ НАРОДНАЯ РЕСПУБЛИКА, МАРИУПОЛЬ, Г. МАРИУПОЛЬ, Г. МАРИУПОЛЬ, ПР-КТ СТРОИТЕЛЕЙ, Д. 113, КВ. 37</t>
  </si>
  <si>
    <t>ООО "ФАРАЛАЙН"</t>
  </si>
  <si>
    <t>ОБЩЕСТВО С ОГРАНИЧЕННОЙ ОТВЕТСТВЕННОСТЬЮ "ФАРАЛАЙН"</t>
  </si>
  <si>
    <t>9310011055</t>
  </si>
  <si>
    <t>1239300015481</t>
  </si>
  <si>
    <t>ДОНЕЦКАЯ НАРОДНАЯ РЕСПУБЛИКА, МАРИУПОЛЬ, Г. МАРИУПОЛЬ, Г. МАРИУПОЛЬ, ПР-Д РИЖСКИЙ, Д. 30</t>
  </si>
  <si>
    <t>ООО "ЦЕНТР ЭКСПЕРТИЗ"</t>
  </si>
  <si>
    <t>ОБЩЕСТВО С ОГРАНИЧЕННОЙ ОТВЕТСТВЕННОСТЬЮ "ЦЕНТР ЭКСПЕРТИЗ"</t>
  </si>
  <si>
    <t>9310010975</t>
  </si>
  <si>
    <t>1239300014997</t>
  </si>
  <si>
    <t>ООО "ЭКСПОПРОМ НД"</t>
  </si>
  <si>
    <t>ОБЩЕСТВО С ОГРАНИЧЕННОЙ ОТВЕТСТВЕННОСТЬЮ "ЭКСПОПРОМ НОВЫЙ ДОНБАСС"</t>
  </si>
  <si>
    <t>9310011263</t>
  </si>
  <si>
    <t>1239300016735</t>
  </si>
  <si>
    <t>287541, ДОНЕЦКАЯ НАРОДНАЯ РЕСПУБЛИКА, МАРИУПОЛЬ, Г. МАРИУПОЛЬ, Г. МАРИУПОЛЬ, ПР-КТ ПОБЕДЫ, Д. 51/32, КВ. 36</t>
  </si>
  <si>
    <t>ООО СК "ГАРАНТ"</t>
  </si>
  <si>
    <t>ОБЩЕСТВО С ОГРАНИЧЕННОЙ ОТВЕТСТВЕННОСТЬЮ СК "ГАРАНТ"</t>
  </si>
  <si>
    <t>9310011200</t>
  </si>
  <si>
    <t>1239300016317</t>
  </si>
  <si>
    <t>ДОНЕЦКАЯ НАРОДНАЯ РЕСПУБЛИКА, МАРИУПОЛЬ, Г. МАРИУПОЛЬ, Г. МАРИУПОЛЬ, УЛ. НОВАЯ ЖИЗНЬ, Д. 14А, ПОМЕЩ. 1</t>
  </si>
  <si>
    <t>ППО АМПГМ ДРПО РОСПРОФТРАНСДОР</t>
  </si>
  <si>
    <t>ПЕРВИЧНАЯ ПРОФСОЮЗНАЯ ОРГАНИЗАЦИЯ "АДМИНИСТРАЦИЯ МОРСКОГО ПОРТА ГОРОДА МАРИУПОЛЯ" ДОНЕЦКОЙ РЕСПУБЛИКАНСКОЙ ПРОФСОЮЗНОЙ ОРГАНИЗАЦИИ ОБЩЕСТВЕННОЙ ОРГАНИЗАЦИИ "ОБЩЕРОССИЙСКИЙ ПРОФЕССИОНАЛЬНЫЙ СОЮЗ РАБОТНИКОВ АВТОМОБИЛЬНОГО ТРАНСПОРТА И ДОРОЖНОГО ХОЗЯЙСТВА"</t>
  </si>
  <si>
    <t>9310011190</t>
  </si>
  <si>
    <t>1239300016262</t>
  </si>
  <si>
    <t>287510, ДОНЕЦКАЯ НАРОДНАЯ РЕСПУБЛИКА, МАРИУПОЛЬ, Г. МАРИУПОЛЬ, Г. МАРИУПОЛЬ, ПР-КТ ЛУНИНА, Д. 99</t>
  </si>
  <si>
    <t>РФСОО "ФЕДЕРАЦИЯ ВОДНОГО ПОЛО ДНР"</t>
  </si>
  <si>
    <t>РЕГИОНАЛЬНАЯ ФИЗКУЛЬТУРНО-СПОРТИВНАЯ ОБЩЕСТВЕННАЯ ОРГАНИЗАЦИЯ "ФЕДЕРАЦИЯ ВОДНОГО ПОЛО ДОНЕЦКОЙ НАРОДНОЙ РЕСПУБЛИКИ"</t>
  </si>
  <si>
    <t>9310011087</t>
  </si>
  <si>
    <t>1239300015591</t>
  </si>
  <si>
    <t>ООО "М-МАРКЕТ"</t>
  </si>
  <si>
    <t>ОБЩЕСТВО С ОГРАНИЧЕННОЙ ОТВЕТСТВЕННОСТЬЮ "М-МАРКЕТ"</t>
  </si>
  <si>
    <t>9310011591</t>
  </si>
  <si>
    <t>1239300019001</t>
  </si>
  <si>
    <t>ДОНЕЦКАЯ НАРОДНАЯ РЕСПУБЛИКА, МАРИУПОЛЬ, Г. МАРИУПОЛЬ, Г. МАРИУПОЛЬ, ПР-КТ НАХИМОВА, Д. 99А</t>
  </si>
  <si>
    <t>АНО "СО "ПОРТОВИК" ИМ. С.И.БАХМУТОВА"</t>
  </si>
  <si>
    <t>АВТОНОМНАЯ НЕКОММЕРЧЕСКАЯ ОРГАНИЗАЦИЯ "СПОРТИВНОЕ ОБЩЕСТВО "ПОРТОВИК" ИМЕНИ С.И.БАХМУТОВА"</t>
  </si>
  <si>
    <t>9310011344</t>
  </si>
  <si>
    <t>1239300017153</t>
  </si>
  <si>
    <t>287549, ДОНЕЦКАЯ НАРОДНАЯ РЕСПУБЛИКА, МАРИУПОЛЬ, Г. МАРИУПОЛЬ, Г. МАРИУПОЛЬ, ПР-КТ МЕТАЛЛУРГОВ, Д. 84, КВ. 6</t>
  </si>
  <si>
    <t>АНО ДПО "РКО "ФССС ДОСААФ РОССИИ" ДНР</t>
  </si>
  <si>
    <t>АВТОНОМНАЯ НЕКОММЕРЧЕСКАЯ ОРГАНИЗАЦИЯ ДОПОЛНИТЕЛЬНОГО ПРОФЕССИОНАЛЬНОГО ОБРАЗОВАНИЯ "РЕГИОНАЛЬНАЯ КИНОЛОГИЧЕСКАЯ ОРГАНИЗАЦИЯ "ФЕДЕРАЦИЯ СЛУЖЕБНО-СПОРТИВНОГО СОБАКОВОДСТВА ДОСААФ РОССИИ" ДОНЕЦКОЙ НАРОДНОЙ РЕСПУБЛИКИ</t>
  </si>
  <si>
    <t>9310011633</t>
  </si>
  <si>
    <t>1239300019166</t>
  </si>
  <si>
    <t>МОО "СК "ФТМ"</t>
  </si>
  <si>
    <t>МЕСТНАЯ ОБЩЕСТВЕННАЯ ОРГАНИЗАЦИЯ "СПОРТИВНЫЙ КЛУБ "ФЕДЕРАЦИЯ ТХЭКВОНДО МАРИУПОЛЯ"</t>
  </si>
  <si>
    <t>9310011665</t>
  </si>
  <si>
    <t>1239300019529</t>
  </si>
  <si>
    <t>287557, ДОНЕЦКАЯ НАРОДНАЯ РЕСПУБЛИКА, МАРИУПОЛЬ, Г. МАРИУПОЛЬ, Г. МАРИУПОЛЬ, УЛ. ФЕВРАЛЬСКАЯ, Д. 46, КВ. 15</t>
  </si>
  <si>
    <t>МОО "ФЕДЕРАЦИЯ КИКБОКСИНГА Г. МАРИУПОЛЯ"</t>
  </si>
  <si>
    <t>МЕСТНАЯ ОБЩЕСТВЕННАЯ ОРГАНИЗАЦИЯ "ФЕДЕРАЦИЯ КИКБОКСИНГА ГОРОДА МАРИУПОЛЯ"</t>
  </si>
  <si>
    <t>9310011390</t>
  </si>
  <si>
    <t>1239300017538</t>
  </si>
  <si>
    <t>ДОНЕЦКАЯ НАРОДНАЯ РЕСПУБЛИКА, МАРИУПОЛЬ, Г. МАРИУПОЛЬ, Г. МАРИУПОЛЬ, УЛ. КОТОВСКОГО, Д. 131</t>
  </si>
  <si>
    <t>МОО "ФПМП"</t>
  </si>
  <si>
    <t>МЕСТНАЯ ОБЩЕСТВЕННАЯ ОРГАНИЗАЦИЯ "ФЕДЕРАЦИЯ ПАУЭРЛИФТИНГА ГОРОДА МАРИУПОЛЯ И ПРИАЗОВЬЯ"</t>
  </si>
  <si>
    <t>9310011560</t>
  </si>
  <si>
    <t>1239300018913</t>
  </si>
  <si>
    <t>287524, ДОНЕЦКАЯ НАРОДНАЯ РЕСПУБЛИКА, МАРИУПОЛЬ, Г. МАРИУПОЛЬ, Г. МАРИУПОЛЬ, УЛ. СЕЧЕНОВА, Д. 62, КВ. 25</t>
  </si>
  <si>
    <t>ООО "1000 МЕЛОЧЕЙ"</t>
  </si>
  <si>
    <t>ОБЩЕСТВО С ОГРАНИЧЕННОЙ ОТВЕТСТВЕННОСТЬЮ "1000 МЕЛОЧЕЙ"</t>
  </si>
  <si>
    <t>9310011680</t>
  </si>
  <si>
    <t>1239300019617</t>
  </si>
  <si>
    <t>287554, ДОНЕЦКАЯ НАРОДНАЯ РЕСПУБЛИКА, МАРИУПОЛЬ, Г. МАРИУПОЛЬ, Г. МАРИУПОЛЬ, ПР-КТ СТРОИТЕЛЕЙ, Д. 193, КВ. 125</t>
  </si>
  <si>
    <t>ООО "АДМИРАЛ"</t>
  </si>
  <si>
    <t>ОБЩЕСТВО С ОГРАНИЧЕННОЙ ОТВЕТСТВЕННОСТЬЮ "АДМИРАЛ"</t>
  </si>
  <si>
    <t>9310011496</t>
  </si>
  <si>
    <t>1239300018572</t>
  </si>
  <si>
    <t>287501, ДОНЕЦКАЯ НАРОДНАЯ РЕСПУБЛИКА, МАРИУПОЛЬ, Г. МАРИУПОЛЬ, Г. МАРИУПОЛЬ, ПР-КТ СТРОИТЕЛЕЙ, Д. 60, ПОМЕЩ. 14</t>
  </si>
  <si>
    <t>ООО "АЛЬЯНС ПРОДУКТ"</t>
  </si>
  <si>
    <t>ОБЩЕСТВО С ОГРАНИЧЕННОЙ ОТВЕТСТВЕННОСТЬЮ "АЛЬЯНС ПРОДУКТ"</t>
  </si>
  <si>
    <t>9310011601</t>
  </si>
  <si>
    <t>1239300019056</t>
  </si>
  <si>
    <t>ДОНЕЦКАЯ НАРОДНАЯ РЕСПУБЛИКА, МАРИУПОЛЬ, Г. МАРИУПОЛЬ, Г. МАРИУПОЛЬ, УЛ. ГАГАРИНА, Д. 86</t>
  </si>
  <si>
    <t>ООО "АНДРИАНОПОЛЬ-ТЕХНОЛОГИИ"</t>
  </si>
  <si>
    <t>ОБЩЕСТВО С ОГРАНИЧЕННОЙ ОТВЕТСТВЕННОСТЬЮ "АНДРИАНОПОЛЬ-ТЕХНОЛОГИИ"</t>
  </si>
  <si>
    <t>9310011464</t>
  </si>
  <si>
    <t>1239300018220</t>
  </si>
  <si>
    <t>ДОНЕЦКАЯ НАРОДНАЯ РЕСПУБЛИКА, МАРИУПОЛЬ, Г. МАРИУПОЛЬ, Г. МАРИУПОЛЬ, УЛ. ТАГАНРОГСКАЯ, Д. 52, ПОМЕЩ. 1</t>
  </si>
  <si>
    <t>ООО "ВЕНЕЦИЯ"</t>
  </si>
  <si>
    <t>ОБЩЕСТВО С ОГРАНИЧЕННОЙ ОТВЕТСТВЕННОСТЬЮ "ВЕНЕЦИЯ"</t>
  </si>
  <si>
    <t>9310011619</t>
  </si>
  <si>
    <t>1239300019067</t>
  </si>
  <si>
    <t>ДОНЕЦКАЯ НАРОДНАЯ РЕСПУБЛИКА, МАРИУПОЛЬ, Г. МАРИУПОЛЬ, Г. МАРИУПОЛЬ, УЛ. 130 ТАГАНРОГСКОЙ ДИВИЗИИ, Д. 7, ПОМЕЩ. 129</t>
  </si>
  <si>
    <t>ООО "ВТМ ПЛЮС"</t>
  </si>
  <si>
    <t>ОБЩЕСТВО С ОГРАНИЧЕННОЙ ОТВЕТСТВЕННОСТЬЮ "ВТМ ПЛЮС"</t>
  </si>
  <si>
    <t>9310011577</t>
  </si>
  <si>
    <t>1239300018935</t>
  </si>
  <si>
    <t>287510, ДОНЕЦКАЯ НАРОДНАЯ РЕСПУБЛИКА, МАРИУПОЛЬ, Г. МАРИУПОЛЬ, Г. МАРИУПОЛЬ, УЛ. КРАСНОФЛОТСКАЯ, Д. 182, ОФИС 4</t>
  </si>
  <si>
    <t>ООО "ДАРЬЯ"</t>
  </si>
  <si>
    <t>ОБЩЕСТВО С ОГРАНИЧЕННОЙ ОТВЕТСТВЕННОСТЬЮ "ДАРЬЯ"</t>
  </si>
  <si>
    <t>9310011400</t>
  </si>
  <si>
    <t>1239300017912</t>
  </si>
  <si>
    <t>287513, ДОНЕЦКАЯ НАРОДНАЯ РЕСПУБЛИКА, МАРИУПОЛЬ, Г. МАРИУПОЛЬ, Г. МАРИУПОЛЬ, УЛ. ПОКРЫШКИНА, Д. 13</t>
  </si>
  <si>
    <t>ООО "ДОНЕЦКИЙ КОМБИНАТ ПИТАНИЯ"</t>
  </si>
  <si>
    <t>ОБЩЕСТВО С ОГРАНИЧЕННОЙ ОТВЕТСТВЕННОСТЬЮ "ДОНЕЦКИЙ КОМБИНАТ ПИТАНИЯ"</t>
  </si>
  <si>
    <t>9310011489</t>
  </si>
  <si>
    <t>1239300018484</t>
  </si>
  <si>
    <t>287537, ДОНЕЦКАЯ НАРОДНАЯ РЕСПУБЛИКА, МАРИУПОЛЬ, Г. МАРИУПОЛЬ, Г. МАРИУПОЛЬ, ПР-КТ СТРОИТЕЛЕЙ, Д. 86, ПОМЕЩ. 62</t>
  </si>
  <si>
    <t>ООО "ЕЛЕНА"</t>
  </si>
  <si>
    <t>ОБЩЕСТВО С ОГРАНИЧЕННОЙ ОТВЕТСТВЕННОСТЬЮ "ЕЛЕНА"</t>
  </si>
  <si>
    <t>9310011425</t>
  </si>
  <si>
    <t>1239300018000</t>
  </si>
  <si>
    <t>ДОНЕЦКАЯ НАРОДНАЯ РЕСПУБЛИКА, МАРИУПОЛЬ, Г. МАРИУПОЛЬ, Г. МАРИУПОЛЬ, УЛ. ПАНАСА МИРНОГО, Д. 2</t>
  </si>
  <si>
    <t>ООО "ИМПЕРИЯ"</t>
  </si>
  <si>
    <t>ОБЩЕСТВО С ОГРАНИЧЕННОЙ ОТВЕТСТВЕННОСТЬЮ "ИМПЕРИЯ"</t>
  </si>
  <si>
    <t>9310011626</t>
  </si>
  <si>
    <t>1239300019122</t>
  </si>
  <si>
    <t>287524, ДОНЕЦКАЯ НАРОДНАЯ РЕСПУБЛИКА, МАРИУПОЛЬ, Г. МАРИУПОЛЬ, Г. МАРИУПОЛЬ, ПР-КТ МЕТАЛЛУРГОВ, Д. 227, ПОМЕЩ. 68</t>
  </si>
  <si>
    <t>ООО "КОТЁЛ"</t>
  </si>
  <si>
    <t>ОБЩЕСТВО С ОГРАНИЧЕННОЙ ОТВЕТСТВЕННОСТЬЮ "КОТЁЛ"</t>
  </si>
  <si>
    <t>9310011584</t>
  </si>
  <si>
    <t>1239300018990</t>
  </si>
  <si>
    <t>287555, ДОНЕЦКАЯ НАРОДНАЯ РЕСПУБЛИКА, МАРИУПОЛЬ, Г. МАРИУПОЛЬ, Г. МАРИУПОЛЬ, УЛ. УРИЦКОГО, Д. 85/18, ПОМЕЩ. 26</t>
  </si>
  <si>
    <t>9310011320</t>
  </si>
  <si>
    <t>1239300016999</t>
  </si>
  <si>
    <t>ООО "МЕГАМАРСТАЛЬ"</t>
  </si>
  <si>
    <t>ОБЩЕСТВО С ОГРАНИЧЕННОЙ ОТВЕТСТВЕННОСТЬЮ "МЕГАМАРСТАЛЬ"</t>
  </si>
  <si>
    <t>9310011513</t>
  </si>
  <si>
    <t>1239300018726</t>
  </si>
  <si>
    <t>ООО "МСТРОЙ-ГРУПП"</t>
  </si>
  <si>
    <t>ОБЩЕСТВО С ОГРАНИЧЕННОЙ ОТВЕТСТВЕННОСТЬЮ "МСТРОЙ-ГРУПП"</t>
  </si>
  <si>
    <t>9310011545</t>
  </si>
  <si>
    <t>1239300018825</t>
  </si>
  <si>
    <t>287513, ДОНЕЦКАЯ НАРОДНАЯ РЕСПУБЛИКА, МАРИУПОЛЬ, Г. МАРИУПОЛЬ, Г. МАРИУПОЛЬ, УЛ. ПОКРЫШКИНА, Д. 9</t>
  </si>
  <si>
    <t>ООО "МФЦ"</t>
  </si>
  <si>
    <t>ОБЩЕСТВО С ОГРАНИЧЕННОЙ ОТВЕТСТВЕННОСТЬЮ "МУЛЬТИФУНКЦИОНАЛЬНЫЙ ЦЕНТР"</t>
  </si>
  <si>
    <t>9310011432</t>
  </si>
  <si>
    <t>1239300018022</t>
  </si>
  <si>
    <t>ООО "НА ПУЛЬСЕ+"</t>
  </si>
  <si>
    <t>ОБЩЕСТВО С ОГРАНИЧЕННОЙ ОТВЕТСТВЕННОСТЬЮ "НА ПУЛЬСЕ+"</t>
  </si>
  <si>
    <t>9310011369</t>
  </si>
  <si>
    <t>1239300017263</t>
  </si>
  <si>
    <t>287501, ДОНЕЦКАЯ НАРОДНАЯ РЕСПУБЛИКА, МАРИУПОЛЬ, Г. МАРИУПОЛЬ, Г. МАРИУПОЛЬ, УЛ. ЛАВИЦКОГО, Д. 9, ОФИС 5</t>
  </si>
  <si>
    <t>ООО "НОВАЯ ЭРА"</t>
  </si>
  <si>
    <t>ОБЩЕСТВО С ОГРАНИЧЕННОЙ ОТВЕТСТВЕННОСТЬЮ "НОВАЯ ЭРА"</t>
  </si>
  <si>
    <t>9310011640</t>
  </si>
  <si>
    <t>1239300019232</t>
  </si>
  <si>
    <t>ДОНЕЦКАЯ НАРОДНАЯ РЕСПУБЛИКА, МАРИУПОЛЬ, Г. МАРИУПОЛЬ, Г. МАРИУПОЛЬ, УЛ. ОЛИМПИЙСКАЯ, Д. 159, ПОМЕЩ. 1</t>
  </si>
  <si>
    <t>ООО "ПГТА МОНТАЖ-СЕРВИС"</t>
  </si>
  <si>
    <t>ОБЩЕСТВО С ОГРАНИЧЕННОЙ ОТВЕТСТВЕННОСТЬЮ "ПГТА МОНТАЖ-СЕРВИС"</t>
  </si>
  <si>
    <t>9310011520</t>
  </si>
  <si>
    <t>1239300018737</t>
  </si>
  <si>
    <t>ООО "РЕГИОН-СТРОЙ 1"</t>
  </si>
  <si>
    <t>ОБЩЕСТВО С ОГРАНИЧЕННОЙ ОТВЕТСТВЕННОСТЬЮ "РЕГИОН-СТРОЙ 1"</t>
  </si>
  <si>
    <t>9310011506</t>
  </si>
  <si>
    <t>1239300018627</t>
  </si>
  <si>
    <t>287524, ДОНЕЦКАЯ НАРОДНАЯ РЕСПУБЛИКА, МАРИУПОЛЬ, Г. МАРИУПОЛЬ, Г. МАРИУПОЛЬ, УЛ. СЕЧЕНОВА, Д. 63, КВ. 64</t>
  </si>
  <si>
    <t>ООО "СЗ ВТМ"</t>
  </si>
  <si>
    <t>ОБЩЕСТВО С ОГРАНИЧЕННОЙ ОТВЕТСТВЕННОСТЬЮ "СПЕЦИАЛИЗИРОВАННЫЙ ЗАСТРОЙЩИК ВТМ"</t>
  </si>
  <si>
    <t>9310011471</t>
  </si>
  <si>
    <t>1239300018242</t>
  </si>
  <si>
    <t>287510, ДОНЕЦКАЯ НАРОДНАЯ РЕСПУБЛИКА, МАРИУПОЛЬ, Г. МАРИУПОЛЬ, Г. МАРИУПОЛЬ, УЛ. КРАСНОФЛОТСКАЯ, Д. 182, ОФИС 3</t>
  </si>
  <si>
    <t>ООО "СЗ ТЕМП"</t>
  </si>
  <si>
    <t>ОБЩЕСТВО С ОГРАНИЧЕННОЙ ОТВЕТСТВЕННОСТЬЮ "СПЕЦИАЛИЗИРОВАННЫЙ ЗАСТРОЙЩИК ТЕМП"</t>
  </si>
  <si>
    <t>9310011351</t>
  </si>
  <si>
    <t>1239300017197</t>
  </si>
  <si>
    <t>ООО "ТАНДЕМ"</t>
  </si>
  <si>
    <t>ОБЩЕСТВО С ОГРАНИЧЕННОЙ ОТВЕТСТВЕННОСТЬЮ "ТАНДЕМ"</t>
  </si>
  <si>
    <t>9310011707</t>
  </si>
  <si>
    <t>1239300019672</t>
  </si>
  <si>
    <t>ООО "ТРИ ШАГА"</t>
  </si>
  <si>
    <t>ОБЩЕСТВО С ОГРАНИЧЕННОЙ ОТВЕТСТВЕННОСТЬЮ "ТРИ ШАГА"</t>
  </si>
  <si>
    <t>9310011658</t>
  </si>
  <si>
    <t>1239300019287</t>
  </si>
  <si>
    <t>287510, ДОНЕЦКАЯ НАРОДНАЯ РЕСПУБЛИКА, МАРИУПОЛЬ, Г. МАРИУПОЛЬ, Г. МАРИУПОЛЬ, ПР-КТ СТРОИТЕЛЕЙ, Д. 19/16, ПОМЕЩ. 62</t>
  </si>
  <si>
    <t>9310011337</t>
  </si>
  <si>
    <t>1239300017120</t>
  </si>
  <si>
    <t>ДОНЕЦКАЯ НАРОДНАЯ РЕСПУБЛИКА, МАРИУПОЛЬ, Г. МАРИУПОЛЬ, Г. МАРИУПОЛЬ, УЛ. БАХЧИВАНДЖИ, Д. 53А</t>
  </si>
  <si>
    <t>ООО "ЮТО"</t>
  </si>
  <si>
    <t>ОБЩЕСТВО С ОГРАНИЧЕННОЙ ОТВЕТСТВЕННОСТЬЮ "ЮЖНОЕ ТРАНСПОРТНОЕ ОБЪЕДИНЕНИЕ"</t>
  </si>
  <si>
    <t>9310011552</t>
  </si>
  <si>
    <t>1239300018880</t>
  </si>
  <si>
    <t>287554, ДОНЕЦКАЯ НАРОДНАЯ РЕСПУБЛИКА, МАРИУПОЛЬ, Г. МАРИУПОЛЬ, Г. МАРИУПОЛЬ, ПР-КТ СТРОИТЕЛЕЙ, Д. 161, ПОМЕЩ. 87</t>
  </si>
  <si>
    <t>РОО "ФСС "ВИП ДОГ ПРОФИ"</t>
  </si>
  <si>
    <t>РЕГИОНАЛЬНАЯ ОБЩЕСТВЕННАЯ ОРГАНИЗАЦИЯ "ФЕДЕРАЦИЯ СЛУЖЕБНОГО СОБАКОВОДСТВА "ВИП ДОГ ПРОФИ"</t>
  </si>
  <si>
    <t>9310011383</t>
  </si>
  <si>
    <t>1239300017340</t>
  </si>
  <si>
    <t>ООО "555"</t>
  </si>
  <si>
    <t>ОБЩЕСТВО С ОГРАНИЧЕННОЙ ОТВЕТСТВЕННОСТЬЮ "555"</t>
  </si>
  <si>
    <t>9310012250</t>
  </si>
  <si>
    <t>1249300003204</t>
  </si>
  <si>
    <t>ДОНЕЦКАЯ НАРОДНАЯ РЕСПУБЛИКА, МАРИУПОЛЬ, Г. МАРИУПОЛЬ, Г. МАРИУПОЛЬ, МКР. БРИГАНТИНА, Д. 70</t>
  </si>
  <si>
    <t>ГБУ ДНР "ПРИАЗОВСКИЙ ЛЕСХОЗ"</t>
  </si>
  <si>
    <t>ГОСУДАРСТВЕННОЕ БЮДЖЕТНОЕ УЧРЕЖДЕНИЕ ДОНЕЦКОЙ НАРОДНОЙ РЕСПУБЛИКИ "ПРИАЗОВСКОЕ ЛЕСООХОТНИЧЬЕ ХОЗЯЙСТВО"</t>
  </si>
  <si>
    <t>9310012210</t>
  </si>
  <si>
    <t>1249300003050</t>
  </si>
  <si>
    <t>ДОНЕЦКАЯ НАРОДНАЯ РЕСПУБЛИКА, МАРИУПОЛЬ, Г. МАРИУПОЛЬ, Г. МАРИУПОЛЬ, УЛ. ЕВПАТОРИЙСКАЯ, Д. 70</t>
  </si>
  <si>
    <t>АССОЦИАЦИЯ ЛЮБИТЕЛЬСКОГО ТЕННИСА Г. МАРИУПОЛЯ - ТАЙМ</t>
  </si>
  <si>
    <t>МЕСТНАЯ ОБЩЕСТВЕННАЯ ОРГАНИЗАЦИЯ "АССОЦИАЦИЯ ЛЮБИТЕЛЬСКОГО ТЕННИСА ГОРОДА МАРИУПОЛЯ - ТАЙМ"</t>
  </si>
  <si>
    <t>9310012228</t>
  </si>
  <si>
    <t>1249300003072</t>
  </si>
  <si>
    <t>ДОНЕЦКАЯ НАРОДНАЯ РЕСПУБЛИКА, МАРИУПОЛЬ, Г. МАРИУПОЛЬ, Г. МАРИУПОЛЬ, УЛ. БОЛЬШАЯ МОРСКАЯ, Д. 62В</t>
  </si>
  <si>
    <t>ООО "АЛЬФА-БЛОК"</t>
  </si>
  <si>
    <t>ОБЩЕСТВО С ОГРАНИЧЕННОЙ ОТВЕТСТВЕННОСТЬЮ "АЛЬФА-БЛОК"</t>
  </si>
  <si>
    <t>9309027011</t>
  </si>
  <si>
    <t>1249300002973</t>
  </si>
  <si>
    <t>ДОНЕЦКАЯ НАРОДНАЯ РЕСПУБЛИКА, МАРИУПОЛЬ, Г. МАРИУПОЛЬ, Г. МАРИУПОЛЬ, ПР-КТ НАХИМОВА, ЗД. 192, ПОМЕЩ. 18</t>
  </si>
  <si>
    <t>ООО "АМЕТИСТ"</t>
  </si>
  <si>
    <t>ОБЩЕСТВО С ОГРАНИЧЕННОЙ ОТВЕТСТВЕННОСТЬЮ "АМЕТИСТ"</t>
  </si>
  <si>
    <t>9310012193</t>
  </si>
  <si>
    <t>1249300002951</t>
  </si>
  <si>
    <t>287549, ДОНЕЦКАЯ НАРОДНАЯ РЕСПУБЛИКА, МАРИУПОЛЬ, Г. МАРИУПОЛЬ, Г. МАРИУПОЛЬ, Б-Р ШЕВЧЕНКО, Д. 353А</t>
  </si>
  <si>
    <t>ООО "АСТОРИЯ"</t>
  </si>
  <si>
    <t>ОБЩЕСТВО С ОГРАНИЧЕННОЙ ОТВЕТСТВЕННОСТЬЮ "АСТОРИЯ"</t>
  </si>
  <si>
    <t>9310012066</t>
  </si>
  <si>
    <t>1249300002016</t>
  </si>
  <si>
    <t>ДОНЕЦКАЯ НАРОДНАЯ РЕСПУБЛИКА, МАРИУПОЛЬ, Г. МАРИУПОЛЬ, Г. МАРИУПОЛЬ, ПР-КТ НАХИМОВА, Д. 103, ПОМЕЩ. 67</t>
  </si>
  <si>
    <t>ООО "ВЕГОЛОС ЦЕМЕНТ ДОНБАСС"</t>
  </si>
  <si>
    <t>ОБЩЕСТВО С ОГРАНИЧЕННОЙ ОТВЕТСТВЕННОСТЬЮ "ВЕГОЛОС ЦЕМЕНТ ДОНБАСС"</t>
  </si>
  <si>
    <t>9310012267</t>
  </si>
  <si>
    <t>1249300003292</t>
  </si>
  <si>
    <t>ООО "ЗАВОД ВЕГОЛОС БЛОК"</t>
  </si>
  <si>
    <t>ОБЩЕСТВО С ОГРАНИЧЕННОЙ ОТВЕТСТВЕННОСТЬЮ "ЗАВОД ВЕГОЛОС БЛОК"</t>
  </si>
  <si>
    <t>9310012299</t>
  </si>
  <si>
    <t>1249300003380</t>
  </si>
  <si>
    <t>ООО "ЛИГОС БЕТОН М"</t>
  </si>
  <si>
    <t>ОБЩЕСТВО С ОГРАНИЧЕННОЙ ОТВЕТСТВЕННОСТЬЮ "ЛИГОС БЕТОН М"</t>
  </si>
  <si>
    <t>9310011721</t>
  </si>
  <si>
    <t>1239300019716</t>
  </si>
  <si>
    <t>ООО "МАРТОН"</t>
  </si>
  <si>
    <t>ОБЩЕСТВО С ОГРАНИЧЕННОЙ ОТВЕТСТВЕННОСТЬЮ "МАРТОН"</t>
  </si>
  <si>
    <t>9310012147</t>
  </si>
  <si>
    <t>1249300002808</t>
  </si>
  <si>
    <t>ДОНЕЦКАЯ НАРОДНАЯ РЕСПУБЛИКА, МАРИУПОЛЬ, Г. МАРИУПОЛЬ, Г. МАРИУПОЛЬ, Б-Р ПРИМОРСКИЙ, Д. 9</t>
  </si>
  <si>
    <t>ООО "МЕТАЛЛПРОМ"</t>
  </si>
  <si>
    <t>ОБЩЕСТВО С ОГРАНИЧЕННОЙ ОТВЕТСТВЕННОСТЬЮ "МЕТАЛЛПРОМ"</t>
  </si>
  <si>
    <t>9310012080</t>
  </si>
  <si>
    <t>1249300002104</t>
  </si>
  <si>
    <t>ООО "ПОЛИС УПТК"</t>
  </si>
  <si>
    <t>ОБЩЕСТВО С ОГРАНИЧЕННОЙ ОТВЕТСТВЕННОСТЬЮ "ПОЛИС УПТК"</t>
  </si>
  <si>
    <t>9310011714</t>
  </si>
  <si>
    <t>1239300019705</t>
  </si>
  <si>
    <t>ООО "ПРОМСНАБСЕРВИС"</t>
  </si>
  <si>
    <t>ОБЩЕСТВО С ОГРАНИЧЕННОЙ ОТВЕТСТВЕННОСТЬЮ "ПРОМСНАБСЕРВИС"</t>
  </si>
  <si>
    <t>9310012179</t>
  </si>
  <si>
    <t>1249300002907</t>
  </si>
  <si>
    <t>ООО "СТАЛЬ ДЕКОР"</t>
  </si>
  <si>
    <t>ОБЩЕСТВО С ОГРАНИЧЕННОЙ ОТВЕТСТВЕННОСТЬЮ "СТАЛЬ ДЕКОР"</t>
  </si>
  <si>
    <t>9310012203</t>
  </si>
  <si>
    <t>1249300003017</t>
  </si>
  <si>
    <t>ДОНЕЦКАЯ НАРОДНАЯ РЕСПУБЛИКА, МАРИУПОЛЬ, Г. МАРИУПОЛЬ, Г. МАРИУПОЛЬ, ПЛ. ЛЕПСЕ, Д. 13</t>
  </si>
  <si>
    <t>ООО "ТАНДЕМ ПЛЮС"</t>
  </si>
  <si>
    <t>ОБЩЕСТВО С ОГРАНИЧЕННОЙ ОТВЕТСТВЕННОСТЬЮ "ТАНДЕМ ПЛЮС"</t>
  </si>
  <si>
    <t>9310012154</t>
  </si>
  <si>
    <t>1249300002820</t>
  </si>
  <si>
    <t>ООО "ТОРГ ЛЕГЕНДА"</t>
  </si>
  <si>
    <t>ОБЩЕСТВО С ОГРАНИЧЕННОЙ ОТВЕТСТВЕННОСТЬЮ "ТОРГ ЛЕГЕНДА"</t>
  </si>
  <si>
    <t>9310012161</t>
  </si>
  <si>
    <t>1249300002830</t>
  </si>
  <si>
    <t>ДОНЕЦКАЯ НАРОДНАЯ РЕСПУБЛИКА, МАРИУПОЛЬ, Г. МАРИУПОЛЬ, Г. МАРИУПОЛЬ, УЛ. ПЕРВОМАЙСКАЯ, Д. 56А</t>
  </si>
  <si>
    <t>ООО "ТРИВИУМ"</t>
  </si>
  <si>
    <t>ОБЩЕСТВО С ОГРАНИЧЕННОЙ ОТВЕТСТВЕННОСТЬЮ "ТРИВИУМ"</t>
  </si>
  <si>
    <t>9310012010</t>
  </si>
  <si>
    <t>1249300001631</t>
  </si>
  <si>
    <t>ДОНЕЦКАЯ НАРОДНАЯ РЕСПУБЛИКА, МАРИУПОЛЬ, Г. МАРИУПОЛЬ, Г. МАРИУПОЛЬ, УЛ. ДЕМОКРАТИЧЕСКАЯ, Д. 48</t>
  </si>
  <si>
    <t>ООО "ТРИУМФ-Д"</t>
  </si>
  <si>
    <t>ОБЩЕСТВО С ОГРАНИЧЕННОЙ ОТВЕТСТВЕННОСТЬЮ "ТРИУМФ-Д"</t>
  </si>
  <si>
    <t>9310012002</t>
  </si>
  <si>
    <t>1249300001598</t>
  </si>
  <si>
    <t>ООО "ТЯЖЕЛЫЙ МЕТАЛЛ"</t>
  </si>
  <si>
    <t>ОБЩЕСТВО С ОГРАНИЧЕННОЙ ОТВЕТСТВЕННОСТЬЮ "ТЯЖЕЛЫЙ МЕТАЛЛ"</t>
  </si>
  <si>
    <t>9310011947</t>
  </si>
  <si>
    <t>1249300001070</t>
  </si>
  <si>
    <t>ООО "ЦОК "НОВЫЕ РЕГИОНЫ"</t>
  </si>
  <si>
    <t>ОБЩЕСТВО С ОГРАНИЧЕННОЙ ОТВЕТСТВЕННОСТЬЮ "ЦЕНТР ОЦЕНКИ И КОНСАЛТИНГА "НОВЫЕ РЕГИОНЫ"</t>
  </si>
  <si>
    <t>9310012059</t>
  </si>
  <si>
    <t>1249300001983</t>
  </si>
  <si>
    <t>ДОНЕЦКАЯ НАРОДНАЯ РЕСПУБЛИКА, МАРИУПОЛЬ, Г. МАРИУПОЛЬ, Г. МАРИУПОЛЬ, ПР-КТ ЛЕНИНА, Д. 87, ПОМЕЩ. 38</t>
  </si>
  <si>
    <t>ООО"АПЕЛЬСИН"</t>
  </si>
  <si>
    <t>ОБЩЕСТВО С ОГРАНИЧЕННОЙ ОТВЕТСТВЕННОСТЬЮ"АПЕЛЬСИН"</t>
  </si>
  <si>
    <t>9310012098</t>
  </si>
  <si>
    <t>1249300002368</t>
  </si>
  <si>
    <t>ДОНЕЦКАЯ НАРОДНАЯ РЕСПУБЛИКА, МАРИУПОЛЬ, Г. МАРИУПОЛЬ, Г. МАРИУПОЛЬ, УЛ. ИТАЛЬЯНСКАЯ, Д. 131, КВ. 4</t>
  </si>
  <si>
    <t>РОО "ФЕДЕРАЦИЯ ДЗЮДО ПРИАЗОВЬЯ ДНР"</t>
  </si>
  <si>
    <t>РЕГИОНАЛЬНАЯ ОБЩЕСТВЕННАЯ ОРГАНИЗАЦИЯ "ФЕДЕРАЦИЯ ДЗЮДО ПРИАЗОВЬЯ ДОНЕЦКОЙ НАРОДНОЙ РЕСПУБЛИКИ"</t>
  </si>
  <si>
    <t>9310011739</t>
  </si>
  <si>
    <t>1239300019738</t>
  </si>
  <si>
    <t>ДОНЕЦКАЯ НАРОДНАЯ РЕСПУБЛИКА, МАРИУПОЛЬ, Г. МАРИУПОЛЬ, Г. МАРИУПОЛЬ, УЛ. ФРУНЗЕ, Д. 69</t>
  </si>
  <si>
    <t>РЕГИОНАЛЬНОЕ ОТДЕЛЕНИЕ ДОНЕЦКОЙ НАРОДНОЙ РЕСПУБЛИКИ ОБЩЕРОССИЙСКОЙ ОБЩЕСТВЕННОЙ ОРГАНИЗАЦИИ "АССОЦИАЦИЯ ЖЕНЩИН-ПРЕДПРИНИМАТЕЛЕЙ РОССИИ"</t>
  </si>
  <si>
    <t>9310012130</t>
  </si>
  <si>
    <t>1249300002742</t>
  </si>
  <si>
    <t>ДОНЕЦКАЯ НАРОДНАЯ РЕСПУБЛИКА, МАРИУПОЛЬ, Г. МАРИУПОЛЬ, Г. МАРИУПОЛЬ, ПР-КТ ЛЕНИНА, Д. 23</t>
  </si>
  <si>
    <t>ООО "ЭДАН"</t>
  </si>
  <si>
    <t>ОБЩЕСТВО С ОГРАНИЧЕННОЙ ОТВЕТСТВЕННОСТЬЮ "ЭДАН"</t>
  </si>
  <si>
    <t>9310012370</t>
  </si>
  <si>
    <t>1249300003842</t>
  </si>
  <si>
    <t>287549, ДОНЕЦКАЯ НАРОДНАЯ РЕСПУБЛИКА, МАРИУПОЛЬ, Г. МАРИУПОЛЬ, Г. МАРИУПОЛЬ, УЛ. АРТЁМА, Д. 59</t>
  </si>
  <si>
    <t>МЕСТНАЯ РЕЛИГИОЗНАЯ ОРГАНИЗАЦИЯ ПРАВОСЛАВНЫЙ ПРИХОД СВЯТО-АМВРОСИЕВСКОГО ХРАМА ГОРОДА МАРИУПОЛЯ ДОНЕЦКОЙ ЕПАРХИИ РУССКОЙ ПРАВОСЛАВНОЙ ЦЕРКВИ (МОСКОВСКИЙ ПАТРИАРХАТ)</t>
  </si>
  <si>
    <t>9310012891</t>
  </si>
  <si>
    <t>1249300005460</t>
  </si>
  <si>
    <t>ДОНЕЦКАЯ НАРОДНАЯ РЕСПУБЛИКА, МАРИУПОЛЬ, Г. МАРИУПОЛЬ, Г. МАРИУПОЛЬ, УЛ. ВОЛОНТЕРОВСКАЯ, Д. 4</t>
  </si>
  <si>
    <t>МЕСТНАЯ РЕЛИГИОЗНАЯ ОРГАНИЗАЦИЯ ПРАВОСЛАВНЫЙ ПРИХОД СВЯТО-БОРИСО-ГЛЕБСКОГО ХРАМА ГОРОДА МАРИУПОЛЯ ДОНЕЦКОЙ ЕПАРХИИ РУССКОЙ ПРАВОСЛАВНОЙ ЦЕРКВИ (МОСКОВСКИЙ ПАТРИАРХАТ)</t>
  </si>
  <si>
    <t>9310012411</t>
  </si>
  <si>
    <t>1249300003974</t>
  </si>
  <si>
    <t>ДОНЕЦКАЯ НАРОДНАЯ РЕСПУБЛИКА, МАРИУПОЛЬ, Г. МАРИУПОЛЬ, Г. МАРИУПОЛЬ, УЛ. КРАСНОЙ АЗОВСКОЙ ФЛОТИЛИИ, Д. 25</t>
  </si>
  <si>
    <t>МЕСТНАЯ РЕЛИГИОЗНАЯ ОРГАНИЗАЦИЯ ПРАВОСЛАВНЫЙ ПРИХОД СВЯТО-ВЛАДИМИРСКОГО ХРАМА ГОРОДА МАРИУПОЛЯ ДОНЕЦКОЙ ЕПАРХИИ РУССКОЙ ПРАВОСЛАВНОЙ ЦЕРКВИ (МОСКОВСКИЙ ПАТРИАРХАТ)</t>
  </si>
  <si>
    <t>9310012980</t>
  </si>
  <si>
    <t>1249300005800</t>
  </si>
  <si>
    <t>ДОНЕЦКАЯ НАРОДНАЯ РЕСПУБЛИКА, МАРИУПОЛЬ, Г. МАРИУПОЛЬ, Г. МАРИУПОЛЬ, УЛ. КИЕВСКАЯ, Д. 52</t>
  </si>
  <si>
    <t>МЕСТНАЯ РЕЛИГИОЗНАЯ ОРГАНИЗАЦИЯ ПРАВОСЛАВНЫЙ ПРИХОД СВЯТО-НИКОЛАЕВСКОГО ХРАМА ГОРОДА МАРИУПОЛЯ ДОНЕЦКОЙ ЕПАРХИИ РУССКОЙ ПРАВОСЛАВНОЙ ЦЕРКВИ (МОСКОВСКИЙ ПАТРИАРХАТ)</t>
  </si>
  <si>
    <t>9310012860</t>
  </si>
  <si>
    <t>1249300005426</t>
  </si>
  <si>
    <t>ДОНЕЦКАЯ НАРОДНАЯ РЕСПУБЛИКА, МАРИУПОЛЬ, Г. МАРИУПОЛЬ, Г. МАРИУПОЛЬ, ПР-КТ НАХИМОВА, Д. 37А</t>
  </si>
  <si>
    <t>МЕСТНАЯ РЕЛИГИОЗНАЯ ОРГАНИЗАЦИЯ ПРАВОСЛАВНЫЙ ПРИХОД СВЯТО-ПОКРОВСКОГО ХРАМА ГОРОДА МАРИУПОЛЯ ДОНЕЦКОЙ ЕПАРХИИ РУССКОЙ ПРАВОСЛАВНОЙ ЦЕРКВИ (МОСКОВСКИЙ ПАТРИАРХАТ)</t>
  </si>
  <si>
    <t>9310012877</t>
  </si>
  <si>
    <t>1249300005448</t>
  </si>
  <si>
    <t>ДОНЕЦКАЯ НАРОДНАЯ РЕСПУБЛИКА, МАРИУПОЛЬ, Г. МАРИУПОЛЬ, Г. МАРИУПОЛЬ, ПР-КТ ПОБЕДЫ, Д. 119В</t>
  </si>
  <si>
    <t>МЕСТНАЯ РЕЛИГИОЗНАЯ ОРГАНИЗАЦИЯ ПРАВОСЛАВНЫЙ ПРИХОД СВЯТО-ПРЕОБРАЖЕНСКОГО ХРАМА ГОРОДА МАРИУПОЛЯ ДОНЕЦКОЙ ЕПАРХИИ РУССКОЙ ПРАВОСЛАВНОЙ ЦЕРКВИ (МОСКОВСКИЙ ПАТРИАРХАТ)</t>
  </si>
  <si>
    <t>9310012813</t>
  </si>
  <si>
    <t>1249300005294</t>
  </si>
  <si>
    <t>398510, ДОНЕЦКАЯ НАРОДНАЯ РЕСПУБЛИКА, МАРИУПОЛЬ, Г. МАРИУПОЛЬ, Г. МАРИУПОЛЬ, УЛ. ОТРАДНАЯ, Д. 22</t>
  </si>
  <si>
    <t>МЕСТНАЯ РЕЛИГИОЗНАЯ ОРГАНИЗАЦИЯ ПРАВОСЛАВНЫЙ ПРИХОД СВЯТО-СЕРАФИМОВСКОГО ХРАМА ГОРОДА МАРИУПОЛЯ ДОНЕЦКОЙ ЕПАРХИИ РУССКОЙ ПРАВОСЛАВНОЙ ЦЕРКВИ (МОСКОВСКИЙ ПАТРИАРХАТ)</t>
  </si>
  <si>
    <t>9310012429</t>
  </si>
  <si>
    <t>1249300003985</t>
  </si>
  <si>
    <t>ДОНЕЦКАЯ НАРОДНАЯ РЕСПУБЛИКА, МАРИУПОЛЬ, Г. МАРИУПОЛЬ, Г. МАРИУПОЛЬ, УЛ. ПЛОТИННАЯ, Д. 108А</t>
  </si>
  <si>
    <t>МЕСТНАЯ РЕЛИГИОЗНАЯ ОРГАНИЗАЦИЯ ПРАВОСЛАВНЫЙ ПРИХОД СВЯТО-ТРОИЦКОГО ХРАМА ГОРОДА МАРИУПОЛЯ ДОНЕЦКОЙ ЕПАРХИИ РУССКОЙ ПРАВОСЛАВНОЙ ЦЕРКВИ (МОСКОВСКИЙ ПАТРИАРХАТ)</t>
  </si>
  <si>
    <t>9310012972</t>
  </si>
  <si>
    <t>1249300005790</t>
  </si>
  <si>
    <t>443063, ДОНЕЦКАЯ НАРОДНАЯ РЕСПУБЛИКА, МАРИУПОЛЬ, Г. МАРИУПОЛЬ, Г. МАРИУПОЛЬ, УЛ. МАТРОСОВА, Д. 25</t>
  </si>
  <si>
    <t>МЕСТНАЯ РЕЛИГИОЗНАЯ ОРГАНИЗАЦИЯ ПРАВОСЛАВНЫЙ ПРИХОД СВЯТО-УСПЕНСКОГО ХРАМА ГОРОДА МАРИУПОЛЯ ДОНЕЦКОЙ ЕПАРХИИ РУССКОЙ ПРАВОСЛАВНОЙ ЦЕРКВИ (МОСКОВСКИЙ ПАТРИАРХАТ)</t>
  </si>
  <si>
    <t>9310013020</t>
  </si>
  <si>
    <t>1249300005855</t>
  </si>
  <si>
    <t>ДОНЕЦКАЯ НАРОДНАЯ РЕСПУБЛИКА, МАРИУПОЛЬ, Г. МАРИУПОЛЬ, Г. МАРИУПОЛЬ, УЛ. СУРИКОВА, Д. 36</t>
  </si>
  <si>
    <t>МЕСТНАЯ РЕЛИГИОЗНАЯ ОРГАНИЗАЦИЯ ПРАВОСЛАВНЫЙ ПРИХОД СОБОРА В ЧЕСТЬ ПОКРОВА ПРЕСВЯТОЙ БОГОРОДИЦЫ ГОРОДА МАРИУПОЛЯ ДОНЕЦКОЙ ЕПАРХИИ РУССКОЙ ПРАВОСЛАВНОЙ ЦЕРКВИ (МОСКОВСКИЙ ПАТРИАРХАТ)</t>
  </si>
  <si>
    <t>9310012820</t>
  </si>
  <si>
    <t>1249300005305</t>
  </si>
  <si>
    <t>454080, ДОНЕЦКАЯ НАРОДНАЯ РЕСПУБЛИКА, МАРИУПОЛЬ, Г. МАРИУПОЛЬ, Г. МАРИУПОЛЬ, УЛ. ЭНГЕЛЬСА, Д. 41</t>
  </si>
  <si>
    <t>МЕСТНАЯ РЕЛИГИОЗНАЯ ОРГАНИЗАЦИЯ ПРАВОСЛАВНЫЙ ПРИХОД СОБОРА СВЯТОГО АРХИСТРАТИГА БОЖИЯ МИХАИЛА ГОРОДА МАРИУПОЛЯ ДОНЕЦКОЙ ЕПАРХИИ РУССКОЙ ПРАВОСЛАВНОЙ ЦЕРКВИ (МОСКОВСКИЙ ПАТРИАРХАТ)</t>
  </si>
  <si>
    <t>9310012764</t>
  </si>
  <si>
    <t>1249300005151</t>
  </si>
  <si>
    <t>ДОНЕЦКАЯ НАРОДНАЯ РЕСПУБЛИКА, МАРИУПОЛЬ, Г. МАРИУПОЛЬ, Г. МАРИУПОЛЬ, УЛ. ВОИНОВ-ОСВОБОДИТЕЛЕЙ, Д. 3</t>
  </si>
  <si>
    <t>МЕСТНАЯ РЕЛИГИОЗНАЯ ОРГАНИЗАЦИЯ ПРАВОСЛАВНЫЙ ПРИХОД ХРАМА ВСЕХ СВЯТЫХ ГОРОДА МАРИУПОЛЯ ДОНЕЦКОЙ ЕПАРХИИ РУССКОЙ ПРАВОСЛАВНОЙ ЦЕРКВИ (МОСКОВСКИЙ ПАТРИАРХАТ)</t>
  </si>
  <si>
    <t>9310012612</t>
  </si>
  <si>
    <t>1249300004623</t>
  </si>
  <si>
    <t>МЕСТНАЯ РЕЛИГИОЗНАЯ ОРГАНИЗАЦИЯ ПРАВОСЛАВНЫЙ ПРИХОД ХРАМА ИКОНЫ БОЖИЕЙ МАТЕРИ "МЛЕКОПИТАТЕЛЬНИЦА" ГОРОДА МАРИУПОЛЯ ДОНЕЦКОЙ ЕПАРХИИ РУССКОЙ ПРАВОСЛАВНОЙ ЦЕРКВИ (МОСКОВСКИЙ ПАТРИАРХАТ)</t>
  </si>
  <si>
    <t>9310012637</t>
  </si>
  <si>
    <t>1249300004645</t>
  </si>
  <si>
    <t>344034, ДОНЕЦКАЯ НАРОДНАЯ РЕСПУБЛИКА, МАРИУПОЛЬ, Г. МАРИУПОЛЬ, Г. МАРИУПОЛЬ, ПР-Д ОТЕЧЕСТВЕННЫЙ, Д. 9</t>
  </si>
  <si>
    <t>МЕСТНАЯ РЕЛИГИОЗНАЯ ОРГАНИЗАЦИЯ ПРАВОСЛАВНЫЙ ПРИХОД ХРАМА СВЯТОГО СВЯЩЕННОМУЧЕНИКА ХАРАЛАМПИЯ ГОРОДА МАРИУПОЛЯ ДОНЕЦКОЙ ЕПАРХИИ РУССКОЙ ПРАВОСЛАВНОЙ ЦЕРКВИ (МОСКОВСКИЙ ПАТРИАРХАТ)</t>
  </si>
  <si>
    <t>9310013006</t>
  </si>
  <si>
    <t>1249300005833</t>
  </si>
  <si>
    <t>ДОНЕЦКАЯ НАРОДНАЯ РЕСПУБЛИКА, МАРИУПОЛЬ, Г. МАРИУПОЛЬ, Г. МАРИУПОЛЬ, УЛ. НЕВСКАЯ, Д. 27</t>
  </si>
  <si>
    <t>МЕСТНАЯ РЕЛИГИОЗНАЯ ОРГАНИЗАЦИЯ ПРАВОСЛАВНЫЙ ПРИХОД ХРАМА СВЯТОЙ МУЧЕНИЦЫ ТАТИАНЫ ГОРОДА МАРИУПОЛЯ ДОНЕЦКОЙ ЕПАРХИИ РУССКОЙ ПРАВОСЛАВНОЙ ЦЕРКВИ (МОСКОВСКИЙ ПАТРИАРХАТ)</t>
  </si>
  <si>
    <t>9310012997</t>
  </si>
  <si>
    <t>1249300005811</t>
  </si>
  <si>
    <t>МЕСТНАЯ РЕЛИГИОЗНАЯ ОРГАНИЗАЦИЯ ПРАВОСЛАВНЫЙ ПРИХОД ХРАМА СВЯТЫХ МУЧЕНИЦ ВЕРЫ, НАДЕЖДЫ, ЛЮБОВИ И МАТЕРИ ИХ СОФИИ ГОРОДА МАРИУПОЛЯ ДОНЕЦКОЙ ЕПАРХИИ РУССКОЙ ПРАВОСЛАВНОЙ ЦЕРКВИ (МОСКОВСКИЙ ПАТРИАРХАТ)</t>
  </si>
  <si>
    <t>9310012620</t>
  </si>
  <si>
    <t>1249300004634</t>
  </si>
  <si>
    <t>ДОНЕЦКАЯ НАРОДНАЯ РЕСПУБЛИКА, МАРИУПОЛЬ, Г. МАРИУПОЛЬ, Г. МАРИУПОЛЬ, ПР-КТ МЕТАЛЛУРГОВ, Д. 187А</t>
  </si>
  <si>
    <t>МЕСТНАЯ РЕЛИГИОЗНАЯ ОРГАНИЗАЦИЯ ПРАВОСЛАВНЫЙ ПРИХОД ХРАМА СВЯТЫХ ЦАРСТВЕННЫХ СТРАСТОТЕРПЦЕВ ГОРОДА МАРИУПОЛЯ ДОНЕЦКОЙ ЕПАРХИИ РУССКОЙ ПРАВОСЛАВНОЙ ЦЕРКВИ (МОСКОВСКИЙ ПАТРИАРХАТ)</t>
  </si>
  <si>
    <t>9310012884</t>
  </si>
  <si>
    <t>1249300005459</t>
  </si>
  <si>
    <t>287504, ДОНЕЦКАЯ НАРОДНАЯ РЕСПУБЛИКА, МАРИУПОЛЬ, Г. МАРИУПОЛЬ, Г. МАРИУПОЛЬ, УЛ. ЧАЙКОВСКОГО, Д. 34А</t>
  </si>
  <si>
    <t>ООО "АДЕЛИНА"</t>
  </si>
  <si>
    <t>ОБЩЕСТВО С ОГРАНИЧЕННОЙ ОТВЕТСТВЕННОСТЬЮ "АДЕЛИНА"</t>
  </si>
  <si>
    <t>9310012348</t>
  </si>
  <si>
    <t>1249300003700</t>
  </si>
  <si>
    <t>ДОНЕЦКАЯ НАРОДНАЯ РЕСПУБЛИКА, МАРИУПОЛЬ, Г. МАРИУПОЛЬ, Г. МАРИУПОЛЬ, УЛ. ОРДЖОНИКИДЗЕ, Д. 119А</t>
  </si>
  <si>
    <t>ООО "АЛЬБАТРОС-13"</t>
  </si>
  <si>
    <t>ОБЩЕСТВО С ОГРАНИЧЕННОЙ ОТВЕТСТВЕННОСТЬЮ "АЛЬБАТРОС-13"</t>
  </si>
  <si>
    <t>9310012355</t>
  </si>
  <si>
    <t>1249300003798</t>
  </si>
  <si>
    <t>ДОНЕЦКАЯ НАРОДНАЯ РЕСПУБЛИКА, МАРИУПОЛЬ, Г. МАРИУПОЛЬ, Г. МАРИУПОЛЬ, УЛ. НОВОРОССИЙСКАЯ, Д. 87</t>
  </si>
  <si>
    <t>ООО "АЛЬТАИР"</t>
  </si>
  <si>
    <t>ОБЩЕСТВО С ОГРАНИЧЕННОЙ ОТВЕТСТВЕННОСТЬЮ "АЛЬТАИР"</t>
  </si>
  <si>
    <t>9310012563</t>
  </si>
  <si>
    <t>1249300004470</t>
  </si>
  <si>
    <t>ДОНЕЦКАЯ НАРОДНАЯ РЕСПУБЛИКА, МАРИУПОЛЬ, Г. МАРИУПОЛЬ, Г. МАРИУПОЛЬ, ПЛ. ЛЕПСЕ, Д. 33, КВ. 8</t>
  </si>
  <si>
    <t>ООО "АРГО"</t>
  </si>
  <si>
    <t>ОБЩЕСТВО С ОГРАНИЧЕННОЙ ОТВЕТСТВЕННОСТЬЮ "АРГО"</t>
  </si>
  <si>
    <t>9310012852</t>
  </si>
  <si>
    <t>1249300005382</t>
  </si>
  <si>
    <t>287501, ДОНЕЦКАЯ НАРОДНАЯ РЕСПУБЛИКА, МАРИУПОЛЬ, Г. МАРИУПОЛЬ, Г. МАРИУПОЛЬ, ПР-КТ МЕТАЛЛУРГОВ, Д. 27</t>
  </si>
  <si>
    <t>ООО "БУЛАТ"</t>
  </si>
  <si>
    <t>ОБЩЕСТВО С ОГРАНИЧЕННОЙ ОТВЕТСТВЕННОСТЬЮ "БУЛАТ"</t>
  </si>
  <si>
    <t>9310013045</t>
  </si>
  <si>
    <t>1249300005943</t>
  </si>
  <si>
    <t>287501, ДОНЕЦКАЯ НАРОДНАЯ РЕСПУБЛИКА, МАРИУПОЛЬ, Г. МАРИУПОЛЬ, Г. МАРИУПОЛЬ, УЛ. ЛАВИЦКОГО, Д. 10А, КВ. 36</t>
  </si>
  <si>
    <t>ООО "ВИН ТЕХЛОГИСТИК"</t>
  </si>
  <si>
    <t>ОБЩЕСТВО С ОГРАНИЧЕННОЙ ОТВЕТСТВЕННОСТЬЮ "ВИН ТЕХЛОГИСТИК"</t>
  </si>
  <si>
    <t>9310012757</t>
  </si>
  <si>
    <t>1249300005129</t>
  </si>
  <si>
    <t>ООО "ВДС"</t>
  </si>
  <si>
    <t>ОБЩЕСТВО С ОГРАНИЧЕННОЙ ОТВЕТСТВЕННОСТЬЮ "ВОЛГА ДНЕПР СТРОЙ"</t>
  </si>
  <si>
    <t>9310012718</t>
  </si>
  <si>
    <t>1249300005020</t>
  </si>
  <si>
    <t>ДОНЕЦКАЯ НАРОДНАЯ РЕСПУБЛИКА, МАРИУПОЛЬ, Г. МАРИУПОЛЬ, Г. МАРИУПОЛЬ, ПР-КТ ЛЕНИНА, Д. 79, ПОМЕЩ. 8</t>
  </si>
  <si>
    <t>ООО "ГЛОБАЛ ИНЖИНИРИНГ ДОНБАСС"</t>
  </si>
  <si>
    <t>ОБЩЕСТВО С ОГРАНИЧЕННОЙ ОТВЕТСТВЕННОСТЬЮ "ГЛОБАЛ ИНЖИНИРИНГ ДОНБАСС"</t>
  </si>
  <si>
    <t>9310012404</t>
  </si>
  <si>
    <t>1249300003952</t>
  </si>
  <si>
    <t>ООО "ГТК-ДОНБАСС"</t>
  </si>
  <si>
    <t>ОБЩЕСТВО С ОГРАНИЧЕННОЙ ОТВЕТСТВЕННОСТЬЮ "ГТК-ДОНБАСС"</t>
  </si>
  <si>
    <t>9310012845</t>
  </si>
  <si>
    <t>1249300005350</t>
  </si>
  <si>
    <t>ДОНЕЦКАЯ НАРОДНАЯ РЕСПУБЛИКА, МАРИУПОЛЬ, Г. МАРИУПОЛЬ, Г. МАРИУПОЛЬ, УЛ. ИТАЛЬЯНСКАЯ, ЗД. 116А, ПОМЕЩ. 3</t>
  </si>
  <si>
    <t>ООО "ДЕЛИКАТЕС РИТЕЙЛ"</t>
  </si>
  <si>
    <t>ОБЩЕСТВО С ОГРАНИЧЕННОЙ ОТВЕТСТВЕННОСТЬЮ "ДЕЛИКАТЕС РИТЕЙЛ"</t>
  </si>
  <si>
    <t>9310012789</t>
  </si>
  <si>
    <t>1249300005184</t>
  </si>
  <si>
    <t>ООО "ДИП"</t>
  </si>
  <si>
    <t>ОБЩЕСТВО С ОГРАНИЧЕННОЙ ОТВЕТСТВЕННОСТЬЮ "ДОРОЖНЫЕ ИНФРАСТРУКТУРНЫЕ ПРОЕКТЫ"</t>
  </si>
  <si>
    <t>9310012531</t>
  </si>
  <si>
    <t>1249300004392</t>
  </si>
  <si>
    <t>ДОНЕЦКАЯ НАРОДНАЯ РЕСПУБЛИКА, МАРИУПОЛЬ, Г. МАРИУПОЛЬ, Г. МАРИУПОЛЬ, ПР-КТ МЕТАЛЛУРГОВ, Д. 92А, ПОМЕЩ. 4</t>
  </si>
  <si>
    <t>ООО "ЕСКА"</t>
  </si>
  <si>
    <t>ОБЩЕСТВО С ОГРАНИЧЕННОЙ ОТВЕТСТВЕННОСТЬЮ "ЕСКА"</t>
  </si>
  <si>
    <t>9310012443</t>
  </si>
  <si>
    <t>1249300004030</t>
  </si>
  <si>
    <t>ДОНЕЦКАЯ НАРОДНАЯ РЕСПУБЛИКА, МАРИУПОЛЬ, Г. МАРИУПОЛЬ, Г. МАРИУПОЛЬ, УЛ. УРИЦКОГО, Д. 63</t>
  </si>
  <si>
    <t>ООО "КОМПАС"</t>
  </si>
  <si>
    <t>ОБЩЕСТВО С ОГРАНИЧЕННОЙ ОТВЕТСТВЕННОСТЬЮ "КОМПАС"</t>
  </si>
  <si>
    <t>9310013091</t>
  </si>
  <si>
    <t>1249300006053</t>
  </si>
  <si>
    <t>287549, ДОНЕЦКАЯ НАРОДНАЯ РЕСПУБЛИКА, МАРИУПОЛЬ, Г. МАРИУПОЛЬ, Г. МАРИУПОЛЬ, УЛ. АРТЁМА, Д. 58, ПОМЕЩ. 1</t>
  </si>
  <si>
    <t>ООО "ЛИВЕРТИ"</t>
  </si>
  <si>
    <t>ОБЩЕСТВО С ОГРАНИЧЕННОЙ ОТВЕТСТВЕННОСТЬЮ "ЛИВЕРТИ"</t>
  </si>
  <si>
    <t>9310013052</t>
  </si>
  <si>
    <t>1249300005976</t>
  </si>
  <si>
    <t>287557, ДОНЕЦКАЯ НАРОДНАЯ РЕСПУБЛИКА, МАРИУПОЛЬ, Г. МАРИУПОЛЬ, Г. МАРИУПОЛЬ, УЛ. СТАНИСЛАВСКОГО, Д. 241</t>
  </si>
  <si>
    <t>ООО "МАГНИТИНВЕСТ"</t>
  </si>
  <si>
    <t>ОБЩЕСТВО С ОГРАНИЧЕННОЙ ОТВЕТСТВЕННОСТЬЮ "МАГНИТИНВЕСТ"</t>
  </si>
  <si>
    <t>9310012725</t>
  </si>
  <si>
    <t>1249300005041</t>
  </si>
  <si>
    <t>ДОНЕЦКАЯ НАРОДНАЯ РЕСПУБЛИКА, МАРИУПОЛЬ, Г. МАРИУПОЛЬ, Г. МАРИУПОЛЬ, УЛ. ЭНГЕЛЬСА, ЗД. 60, КОМ. 315</t>
  </si>
  <si>
    <t>ООО "МЕГАТОРГ"</t>
  </si>
  <si>
    <t>ОБЩЕСТВО С ОГРАНИЧЕННОЙ ОТВЕТСТВЕННОСТЬЮ "МЕГАТОРГ"</t>
  </si>
  <si>
    <t>9310012605</t>
  </si>
  <si>
    <t>1249300004612</t>
  </si>
  <si>
    <t>ООО "ПРАЙМ"</t>
  </si>
  <si>
    <t>ОБЩЕСТВО С ОГРАНИЧЕННОЙ ОТВЕТСТВЕННОСТЬЮ "ПРАЙМ"</t>
  </si>
  <si>
    <t>9310012549</t>
  </si>
  <si>
    <t>1249300004436</t>
  </si>
  <si>
    <t>ООО "РАДИКАЛ КО"</t>
  </si>
  <si>
    <t>ОБЩЕСТВО С ОГРАНИЧЕННОЙ ОТВЕТСТВЕННОСТЬЮ "РАДИКАЛ КО"</t>
  </si>
  <si>
    <t>9310012588</t>
  </si>
  <si>
    <t>1249300004535</t>
  </si>
  <si>
    <t>ДОНЕЦКАЯ НАРОДНАЯ РЕСПУБЛИКА, МАРИУПОЛЬ, Г. МАРИУПОЛЬ, Г. МАРИУПОЛЬ, УЛ. КАЗАНЦЕВА, Д. 72А</t>
  </si>
  <si>
    <t>ООО "РОСТАЗОВБЕТОН"</t>
  </si>
  <si>
    <t>ОБЩЕСТВО С ОГРАНИЧЕННОЙ ОТВЕТСТВЕННОСТЬЮ "РОСТАЗОВБЕТОН"</t>
  </si>
  <si>
    <t>9310012958</t>
  </si>
  <si>
    <t>1249300005734</t>
  </si>
  <si>
    <t>ООО "СЕРВИСИНВЕСТ"</t>
  </si>
  <si>
    <t>ОБЩЕСТВО С ОГРАНИЧЕННОЙ ОТВЕТСТВЕННОСТЬЮ "СЕРВИСИНВЕСТ"</t>
  </si>
  <si>
    <t>9310012700</t>
  </si>
  <si>
    <t>1249300004964</t>
  </si>
  <si>
    <t>ДОНЕЦКАЯ НАРОДНАЯ РЕСПУБЛИКА, МАРИУПОЛЬ, Г. МАРИУПОЛЬ, Г. МАРИУПОЛЬ, ПР-КТ ИЛЬИЧА, Д. 140, ПОМЕЩ. 85</t>
  </si>
  <si>
    <t>ООО "СКБ"</t>
  </si>
  <si>
    <t>ОБЩЕСТВО С ОГРАНИЧЕННОЙ ОТВЕТСТВЕННОСТЬЮ "СИСТЕМЫ КОНТРОЛЯ И БЕЗОПАСНОСТИ"</t>
  </si>
  <si>
    <t>9310012490</t>
  </si>
  <si>
    <t>1249300004194</t>
  </si>
  <si>
    <t>287524, ДОНЕЦКАЯ НАРОДНАЯ РЕСПУБЛИКА, МАРИУПОЛЬ, Г. МАРИУПОЛЬ, Г. МАРИУПОЛЬ, УЛ. СЕЧЕНОВА, Д. 63А, ОФИС 24</t>
  </si>
  <si>
    <t>ООО "СПЕЦПРОЕКТ"</t>
  </si>
  <si>
    <t>ОБЩЕСТВО С ОГРАНИЧЕННОЙ ОТВЕТСТВЕННОСТЬЮ "СПЕЦПРОЕКТ"</t>
  </si>
  <si>
    <t>9310012796</t>
  </si>
  <si>
    <t>1249300005228</t>
  </si>
  <si>
    <t>ООО "СМК "РЕЗУЛЬТАТ"</t>
  </si>
  <si>
    <t>ОБЩЕСТВО С ОГРАНИЧЕННОЙ ОТВЕТСТВЕННОСТЬЮ "СТРОИТЕЛЬНО-МОНТАЖНАЯ КОМПАНИЯ "РЕЗУЛЬТАТ"</t>
  </si>
  <si>
    <t>9310012330</t>
  </si>
  <si>
    <t>1249300003655</t>
  </si>
  <si>
    <t>ООО "ТЕХПРОМКОМПЛЕКТ"</t>
  </si>
  <si>
    <t>ОБЩЕСТВО С ОГРАНИЧЕННОЙ ОТВЕТСТВЕННОСТЬЮ "ТЕХПРОМКОМПЛЕКТ"</t>
  </si>
  <si>
    <t>9310012482</t>
  </si>
  <si>
    <t>1249300004161</t>
  </si>
  <si>
    <t>ООО "ТОЧКА РОСТА"</t>
  </si>
  <si>
    <t>ОБЩЕСТВО С ОГРАНИЧЕННОЙ ОТВЕТСТВЕННОСТЬЮ "ТОЧКА РОСТА"</t>
  </si>
  <si>
    <t>9310012323</t>
  </si>
  <si>
    <t>1249300003567</t>
  </si>
  <si>
    <t>287554, ДОНЕЦКАЯ НАРОДНАЯ РЕСПУБЛИКА, МАРИУПОЛЬ, Г. МАРИУПОЛЬ, Г. МАРИУПОЛЬ, ПР-КТ СТРОИТЕЛЕЙ, Д. 161, ПОМЕЩ. 75</t>
  </si>
  <si>
    <t>ООО "ФАЛД-СТРОЙИННОВАЦИИ"</t>
  </si>
  <si>
    <t>ОБЩЕСТВО С ОГРАНИЧЕННОЙ ОТВЕТСТВЕННОСТЬЮ "ФАЛД-СТРОЙИННОВАЦИИ"</t>
  </si>
  <si>
    <t>9310012517</t>
  </si>
  <si>
    <t>1249300004250</t>
  </si>
  <si>
    <t>287513, ДОНЕЦКАЯ НАРОДНАЯ РЕСПУБЛИКА, МАРИУПОЛЬ, Г. МАРИУПОЛЬ, Г. МАРИУПОЛЬ, УЛ. ПОКРЫШКИНА, Д. 9, КОМ. 1</t>
  </si>
  <si>
    <t>ООО "ФАРМАТЕХ"</t>
  </si>
  <si>
    <t>ОБЩЕСТВО С ОГРАНИЧЕННОЙ ОТВЕТСТВЕННОСТЬЮ "ФАРМАТЕХ"</t>
  </si>
  <si>
    <t>9310012683</t>
  </si>
  <si>
    <t>1249300004910</t>
  </si>
  <si>
    <t>287501, ДОНЕЦКАЯ НАРОДНАЯ РЕСПУБЛИКА, МАРИУПОЛЬ, Г. МАРИУПОЛЬ, Г. МАРИУПОЛЬ, УЛ. ЭНГЕЛЬСА, Д. 38, КВ. 68</t>
  </si>
  <si>
    <t>ООО "ФЛЕШ"</t>
  </si>
  <si>
    <t>ОБЩЕСТВО С ОГРАНИЧЕННОЙ ОТВЕТСТВЕННОСТЬЮ "ФЛЭШ"</t>
  </si>
  <si>
    <t>9310012595</t>
  </si>
  <si>
    <t>1249300004590</t>
  </si>
  <si>
    <t>ООО "ЧОО "СИРИУС"</t>
  </si>
  <si>
    <t>ОБЩЕСТВО С ОГРАНИЧЕННОЙ ОТВЕТСТВЕННОСТЬЮ "ЧАСТНАЯ ОХРАННАЯ ОРГАНИЗАЦИЯ "СИРИУС"</t>
  </si>
  <si>
    <t>9310013119</t>
  </si>
  <si>
    <t>1249300006086</t>
  </si>
  <si>
    <t>ООО "ШЕБАНИЦ С.П."</t>
  </si>
  <si>
    <t>ОБЩЕСТВО С ОГРАНИЧЕННОЙ ОТВЕТСТВЕННОСТЬЮ "ШЕБАНИЦ С.П."</t>
  </si>
  <si>
    <t>9310012309</t>
  </si>
  <si>
    <t>1249300003534</t>
  </si>
  <si>
    <t>ДОНЕЦКАЯ НАРОДНАЯ РЕСПУБЛИКА, МАРИУПОЛЬ, Г. МАРИУПОЛЬ, Г. МАРИУПОЛЬ, ПР-КТ НАХИМОВА, Д. 116А, ПОМЕЩ. 1</t>
  </si>
  <si>
    <t>ООО "ЭНЕРГО-ИНВЕСТ"</t>
  </si>
  <si>
    <t>ОБЩЕСТВО С ОГРАНИЧЕННОЙ ОТВЕТСТВЕННОСТЬЮ "ЭНЕРГО-ИНВЕСТ"</t>
  </si>
  <si>
    <t>9310012690</t>
  </si>
  <si>
    <t>1249300004942</t>
  </si>
  <si>
    <t>ООО "ЭСКОРТ"</t>
  </si>
  <si>
    <t>ОБЩЕСТВО С ОГРАНИЧЕННОЙ ОТВЕТСТВЕННОСТЬЮ "ЭСКОРТ"</t>
  </si>
  <si>
    <t>9310012450</t>
  </si>
  <si>
    <t>1249300004040</t>
  </si>
  <si>
    <t>ДОНЕЦКАЯ НАРОДНАЯ РЕСПУБЛИКА, МАРИУПОЛЬ, Г. МАРИУПОЛЬ, Г. МАРИУПОЛЬ, ПЛ. ЛЕПСЕ, Д. 7</t>
  </si>
  <si>
    <t>СНТ "ФИАЛКА"</t>
  </si>
  <si>
    <t>САДОВОДЧЕСКОЕ НЕКОММЕРЧЕСКОЕ ТОВАРИЩЕСТВО "ФИАЛКА"</t>
  </si>
  <si>
    <t>9310012500</t>
  </si>
  <si>
    <t>1249300004227</t>
  </si>
  <si>
    <t>287526, ДОНЕЦКАЯ НАРОДНАЯ РЕСПУБЛИКА, МАРИУПОЛЬ, Г. МАРИУПОЛЬ, Г. МАРИУПОЛЬ, УЛ. МЕЖЕВАЯ, Д. 15, КВ. 10</t>
  </si>
  <si>
    <t>ТСН "АВТОЛЮБИТЕЛЬ-20"</t>
  </si>
  <si>
    <t>ТОВАРИЩЕСТВО СОБСТВЕННИКОВ НЕДВИЖИМОСТИ "АВТОЛЮБИТЕЛЬ-20"</t>
  </si>
  <si>
    <t>9310012362</t>
  </si>
  <si>
    <t>1249300003809</t>
  </si>
  <si>
    <t>ДОНЕЦКАЯ НАРОДНАЯ РЕСПУБЛИКА, МАРИУПОЛЬ, Г. МАРИУПОЛЬ, Г. МАРИУПОЛЬ, УЛ. САМОЛЁТНАЯ, Д. 50</t>
  </si>
  <si>
    <t>ТСН "ГК "АМЛ-27"</t>
  </si>
  <si>
    <t>ТОВАРИЩЕСТВО СОБСТВЕННИКОВ НЕДВИЖИМОСТИ "ГАРАЖНЫЙ КООПЕРАТИВ "АВТОМОТОЛЮБИТЕЛЬ-27"</t>
  </si>
  <si>
    <t>9310012676</t>
  </si>
  <si>
    <t>1249300004865</t>
  </si>
  <si>
    <t>ДОНЕЦКАЯ НАРОДНАЯ РЕСПУБЛИКА, МАРИУПОЛЬ, Г. МАРИУПОЛЬ, Г. МАРИУПОЛЬ, УЛ. А.М. ФУРМАНОВА, Д. 25</t>
  </si>
  <si>
    <t>ТСН "ГРАНД ХОЛЛ"</t>
  </si>
  <si>
    <t>ТОВАРИЩЕСТВО СОБСТВЕННИКОВ НЕДВИЖИМОСТИ "ГРАНД ХОЛЛ"</t>
  </si>
  <si>
    <t>9310012524</t>
  </si>
  <si>
    <t>1249300004348</t>
  </si>
  <si>
    <t>287526, ДОНЕЦКАЯ НАРОДНАЯ РЕСПУБЛИКА, МАРИУПОЛЬ, Г. МАРИУПОЛЬ, Г. МАРИУПОЛЬ, ПР-КТ ПОБЕДЫ, Д. 16/22</t>
  </si>
  <si>
    <t>ТСН СНТ "ВИТАМИН"</t>
  </si>
  <si>
    <t>ТОВАРИЩЕСТВО СОБСТВЕННИКОВ НЕДВИЖИМОСТИ САДОВОДЧЕСКОЕ НЕКОММЕРЧЕСКОЕ ТОВАРИЩЕСТВО "ВИТАМИН"</t>
  </si>
  <si>
    <t>9310012965</t>
  </si>
  <si>
    <t>1249300005778</t>
  </si>
  <si>
    <t>ДОНЕЦКАЯ НАРОДНАЯ РЕСПУБЛИКА, МАРИУПОЛЬ, Г. МАРИУПОЛЬ, Г. МАРИУПОЛЬ, УЛ. ТАГАНРОГСКАЯ, Д. 40</t>
  </si>
  <si>
    <t>ЖСК "БЕРЕЗКА"</t>
  </si>
  <si>
    <t>ЖИЛИЩНО-СТРОИТЕЛЬНЫЙ КООПЕРАТИВ "БЕРЕЗКА"</t>
  </si>
  <si>
    <t>9310013341</t>
  </si>
  <si>
    <t>1249300006977</t>
  </si>
  <si>
    <t>610000, ДОНЕЦКАЯ НАРОДНАЯ РЕСПУБЛИКА, МАРИУПОЛЬ, Г. МАРИУПОЛЬ, Г. МАРИУПОЛЬ, ПР-КТ ЛЕНИНА, Д. 84</t>
  </si>
  <si>
    <t>МГОО "ФБМ"</t>
  </si>
  <si>
    <t>МЕСТНАЯ ГОРОДСКАЯ ОБЩЕСТВЕННАЯ ОРГАНИЗАЦИЯ "ФЕДЕРАЦИЯ БОКСА МАРИУПОЛЯ"</t>
  </si>
  <si>
    <t>9310013422</t>
  </si>
  <si>
    <t>1249300007318</t>
  </si>
  <si>
    <t>ООО "А-СТРОЙ"</t>
  </si>
  <si>
    <t>ОБЩЕСТВО С ОГРАНИЧЕННОЙ ОТВЕТСТВЕННОСТЬЮ "А-СТРОЙ"</t>
  </si>
  <si>
    <t>9310013334</t>
  </si>
  <si>
    <t>1249300006922</t>
  </si>
  <si>
    <t>ДОНЕЦКАЯ НАРОДНАЯ РЕСПУБЛИКА, МАРИУПОЛЬ, Г. МАРИУПОЛЬ, Г. МАРИУПОЛЬ, УЛ. ПАРХОМЕНКО, Д. 50Б</t>
  </si>
  <si>
    <t>ООО "АЛКО ПЛЮС"</t>
  </si>
  <si>
    <t>ОБЩЕСТВО С ОГРАНИЧЕННОЙ ОТВЕТСТВЕННОСТЬЮ "АЛКО ПЛЮС"</t>
  </si>
  <si>
    <t>9310013373</t>
  </si>
  <si>
    <t>1249300007120</t>
  </si>
  <si>
    <t>ООО "БАЗИС ГРУПП"</t>
  </si>
  <si>
    <t>ОБЩЕСТВО С ОГРАНИЧЕННОЙ ОТВЕТСТВЕННОСТЬЮ "БАЗИС ГРУПП"</t>
  </si>
  <si>
    <t>9310013430</t>
  </si>
  <si>
    <t>1249300007329</t>
  </si>
  <si>
    <t>ООО "ББС"</t>
  </si>
  <si>
    <t>ОБЩЕСТВО С ОГРАНИЧЕННОЙ ОТВЕТСТВЕННОСТЬЮ "ББС"</t>
  </si>
  <si>
    <t>9310013380</t>
  </si>
  <si>
    <t>1249300007186</t>
  </si>
  <si>
    <t>ДОНЕЦКАЯ НАРОДНАЯ РЕСПУБЛИКА, МАРИУПОЛЬ, Г. МАРИУПОЛЬ, Г. МАРИУПОЛЬ, УЛ. ГОГОЛЕВСКАЯ, Д. 19</t>
  </si>
  <si>
    <t>ООО "ВОЗРОЖДЕНИЕ"</t>
  </si>
  <si>
    <t>ОБЩЕСТВО С ОГРАНИЧЕННОЙ ОТВЕТСТВЕННОСТЬЮ "ВОЗРОЖДЕНИЕ"</t>
  </si>
  <si>
    <t>9310013285</t>
  </si>
  <si>
    <t>1249300006746</t>
  </si>
  <si>
    <t>ДОНЕЦКАЯ НАРОДНАЯ РЕСПУБЛИКА, МАРИУПОЛЬ, Г. МАРИУПОЛЬ, Г. МАРИУПОЛЬ, ПР-КТ НАХИМОВА, Д. 204, ПОМЕЩ. 32</t>
  </si>
  <si>
    <t>ООО "ГАРАЖ-88"</t>
  </si>
  <si>
    <t>ОБЩЕСТВО С ОГРАНИЧЕННОЙ ОТВЕТСТВЕННОСТЬЮ "ГАРАЖ-88"</t>
  </si>
  <si>
    <t>9310013327</t>
  </si>
  <si>
    <t>1249300006856</t>
  </si>
  <si>
    <t>ООО "ГЕОСТАНДАРТ"</t>
  </si>
  <si>
    <t>ОБЩЕСТВО С ОГРАНИЧЕННОЙ ОТВЕТСТВЕННОСТЬЮ "ГЕОСТАНДАРТ"</t>
  </si>
  <si>
    <t>9310013479</t>
  </si>
  <si>
    <t>1249300007527</t>
  </si>
  <si>
    <t>ООО "ИДЕАЛСТРОЙ"</t>
  </si>
  <si>
    <t>ОБЩЕСТВО С ОГРАНИЧЕННОЙ ОТВЕТСТВЕННОСТЬЮ "ИДЕАЛСТРОЙ"</t>
  </si>
  <si>
    <t>9310013253</t>
  </si>
  <si>
    <t>1249300006670</t>
  </si>
  <si>
    <t>287513, ДОНЕЦКАЯ НАРОДНАЯ РЕСПУБЛИКА, МАРИУПОЛЬ, Г. МАРИУПОЛЬ, Г. МАРИУПОЛЬ, УЛ. ПОКРЫШКИНА, Д. 9, КОМ. 2</t>
  </si>
  <si>
    <t>ООО "КВИТЕНЬ"</t>
  </si>
  <si>
    <t>ОБЩЕСТВО С ОГРАНИЧЕННОЙ ОТВЕТСТВЕННОСТЬЮ "КВИТЕНЬ"</t>
  </si>
  <si>
    <t>9500023669</t>
  </si>
  <si>
    <t>1249500001211</t>
  </si>
  <si>
    <t>ООО "КРАНКОМПАНИ ЮГ"</t>
  </si>
  <si>
    <t>ОБЩЕСТВО С ОГРАНИЧЕННОЙ ОТВЕТСТВЕННОСТЬЮ "КРАНКОМПАНИ ЮГ"</t>
  </si>
  <si>
    <t>9310013292</t>
  </si>
  <si>
    <t>1249300006790</t>
  </si>
  <si>
    <t>ООО "МАКСИСТРОЙ М"</t>
  </si>
  <si>
    <t>ОБЩЕСТВО С ОГРАНИЧЕННОЙ ОТВЕТСТВЕННОСТЬЮ "МАКСИСТРОЙ М"</t>
  </si>
  <si>
    <t>9310013486</t>
  </si>
  <si>
    <t>1249300007637</t>
  </si>
  <si>
    <t>287504, ДОНЕЦКАЯ НАРОДНАЯ РЕСПУБЛИКА, МАРИУПОЛЬ, Г. МАРИУПОЛЬ, Г. МАРИУПОЛЬ, УЛ. ВУЗОВСКАЯ, Д. 3, ПОМЕЩ. 4</t>
  </si>
  <si>
    <t>ООО "МЕРИДИАН ДЕВЕЛОПМЕНТ"</t>
  </si>
  <si>
    <t>ОБЩЕСТВО С ОГРАНИЧЕННОЙ ОТВЕТСТВЕННОСТЬЮ "МЕРИДИАН ДЕВЕЛОПМЕНТ"</t>
  </si>
  <si>
    <t>9310013408</t>
  </si>
  <si>
    <t>1249300007219</t>
  </si>
  <si>
    <t>ДОНЕЦКАЯ НАРОДНАЯ РЕСПУБЛИКА, МАРИУПОЛЬ, Г. МАРИУПОЛЬ, Г. МАРИУПОЛЬ, УЛ. МИТРОПОЛИТСКАЯ, Д. 61</t>
  </si>
  <si>
    <t>ООО "НИК-ТОРГ"</t>
  </si>
  <si>
    <t>ОБЩЕСТВО С ОГРАНИЧЕННОЙ ОТВЕТСТВЕННОСТЬЮ "НИК-ТОРГ"</t>
  </si>
  <si>
    <t>9310013398</t>
  </si>
  <si>
    <t>1249300007208</t>
  </si>
  <si>
    <t>ДОНЕЦКАЯ НАРОДНАЯ РЕСПУБЛИКА, МАРИУПОЛЬ, Г. МАРИУПОЛЬ, Г. МАРИУПОЛЬ, ПР-КТ ТУЛЬСКИЙ, Д. 158Г</t>
  </si>
  <si>
    <t>9310013359</t>
  </si>
  <si>
    <t>1249300007065</t>
  </si>
  <si>
    <t>ДОНЕЦКАЯ НАРОДНАЯ РЕСПУБЛИКА, МАРИУПОЛЬ, Г. МАРИУПОЛЬ, Г. МАРИУПОЛЬ, УЛ. 50 ЛЕТ СССР, Д. 83А, ПОМЕЩ. 1</t>
  </si>
  <si>
    <t>ООО "СЕВЕР"</t>
  </si>
  <si>
    <t>ОБЩЕСТВО С ОГРАНИЧЕННОЙ ОТВЕТСТВЕННОСТЬЮ "СЕВЕР"</t>
  </si>
  <si>
    <t>9310013133</t>
  </si>
  <si>
    <t>1249300006196</t>
  </si>
  <si>
    <t>ООО "СЕРДЦЕ КРЫМА"</t>
  </si>
  <si>
    <t>ОБЩЕСТВО С ОГРАНИЧЕННОЙ ОТВЕТСТВЕННОСТЬЮ "СЕРДЦЕ КРЫМА"</t>
  </si>
  <si>
    <t>9310013567</t>
  </si>
  <si>
    <t>1249300007879</t>
  </si>
  <si>
    <t>ДОНЕЦКАЯ НАРОДНАЯ РЕСПУБЛИКА, МАРИУПОЛЬ, Г. МАРИУПОЛЬ, Г. МАРИУПОЛЬ, УЛ. ИРТЫШСКАЯ, Д. 22, КВ. 77</t>
  </si>
  <si>
    <t>ООО "СПЕЦАВТОТЕХСТРОЙ"</t>
  </si>
  <si>
    <t>ОБЩЕСТВО С ОГРАНИЧЕННОЙ ОТВЕТСТВЕННОСТЬЮ "СПЕЦАВТОТЕХСТРОЙ"</t>
  </si>
  <si>
    <t>9310013447</t>
  </si>
  <si>
    <t>1249300007340</t>
  </si>
  <si>
    <t>ООО "СПЕЦЖЕЛЕЗОБЕТОН"</t>
  </si>
  <si>
    <t>ОБЩЕСТВО С ОГРАНИЧЕННОЙ ОТВЕТСТВЕННОСТЬЮ "СПЕЦЖЕЛЕЗОБЕТОН"</t>
  </si>
  <si>
    <t>9311025822</t>
  </si>
  <si>
    <t>1249300006416</t>
  </si>
  <si>
    <t>ДОНЕЦКАЯ НАРОДНАЯ РЕСПУБЛИКА, МАРИУПОЛЬ, Г. МАРИУПОЛЬ, Г. МАРИУПОЛЬ, Б-Р БОГДАНА ХМЕЛЬНИЦКОГО, Д. 19А, ПОМЕЩ. 4</t>
  </si>
  <si>
    <t>ООО "СПЕЦТЕХЗАПАС"</t>
  </si>
  <si>
    <t>ОБЩЕСТВО С ОГРАНИЧЕННОЙ ОТВЕТСТВЕННОСТЬЮ "СПЕЦТЕХЗАПАС"</t>
  </si>
  <si>
    <t>9310013172</t>
  </si>
  <si>
    <t>1249300006394</t>
  </si>
  <si>
    <t>ДОНЕЦКАЯ НАРОДНАЯ РЕСПУБЛИКА, МАРИУПОЛЬ, Г. МАРИУПОЛЬ, Г. МАРИУПОЛЬ, УЛ. 60 ЛЕТ СССР, Д. 29, КВ. 45</t>
  </si>
  <si>
    <t>ООО "ФЕНИКС"</t>
  </si>
  <si>
    <t>ОБЩЕСТВО С ОГРАНИЧЕННОЙ ОТВЕТСТВЕННОСТЬЮ "ФЕНИКС"</t>
  </si>
  <si>
    <t>9310013246</t>
  </si>
  <si>
    <t>1249300006647</t>
  </si>
  <si>
    <t>287510, ДОНЕЦКАЯ НАРОДНАЯ РЕСПУБЛИКА, МАРИУПОЛЬ, Г. МАРИУПОЛЬ, Г. МАРИУПОЛЬ, ПР-КТ НАХИМОВА, Д. 130, КВ. 48</t>
  </si>
  <si>
    <t>ООО "ФУД МАРКЕТ ГРУП"</t>
  </si>
  <si>
    <t>ОБЩЕСТВО С ОГРАНИЧЕННОЙ ОТВЕТСТВЕННОСТЬЮ "ФУД МАРКЕТ ГРУП"</t>
  </si>
  <si>
    <t>9310013278</t>
  </si>
  <si>
    <t>1249300006735</t>
  </si>
  <si>
    <t>ООО "ЧАЙКА"</t>
  </si>
  <si>
    <t>ОБЩЕСТВО С ОГРАНИЧЕННОЙ ОТВЕТСТВЕННОСТЬЮ "ЧАЙКА"</t>
  </si>
  <si>
    <t>9310013510</t>
  </si>
  <si>
    <t>1249300007714</t>
  </si>
  <si>
    <t>362003, ДОНЕЦКАЯ НАРОДНАЯ РЕСПУБЛИКА, МАРИУПОЛЬ, Г. МАРИУПОЛЬ, Г. МАРИУПОЛЬ, УЛ. ПАШКОВСКОГО, Д. 14, ПОМЕЩ. 1</t>
  </si>
  <si>
    <t>ООО "ШАРМ"</t>
  </si>
  <si>
    <t>ОБЩЕСТВО С ОГРАНИЧЕННОЙ ОТВЕТСТВЕННОСТЬЮ "ШАРМ"</t>
  </si>
  <si>
    <t>9310013310</t>
  </si>
  <si>
    <t>1249300006845</t>
  </si>
  <si>
    <t>ДОНЕЦКАЯ НАРОДНАЯ РЕСПУБЛИКА, МАРИУПОЛЬ, Г. МАРИУПОЛЬ, Г. МАРИУПОЛЬ, ПР-КТ ЛЕНИНА, Д. 37</t>
  </si>
  <si>
    <t>ООО "ШПАК"</t>
  </si>
  <si>
    <t>ОБЩЕСТВО С ОГРАНИЧЕННОЙ ОТВЕТСТВЕННОСТЬЮ "ШПАК"</t>
  </si>
  <si>
    <t>9310013197</t>
  </si>
  <si>
    <t>1249300006482</t>
  </si>
  <si>
    <t>287512, ДОНЕЦКАЯ НАРОДНАЯ РЕСПУБЛИКА, МАРИУПОЛЬ, Г. МАРИУПОЛЬ, Г. МАРИУПОЛЬ, УЛ. УРИЦКОГО, Д. 126, КВ. 91</t>
  </si>
  <si>
    <t>СНТ "РОДИНА"</t>
  </si>
  <si>
    <t>САДОВОДЧЕСКОЕ НЕКОММЕРЧЕСКОЕ ТОВАРИЩЕСТВО "РОДИНА"</t>
  </si>
  <si>
    <t>9310013239</t>
  </si>
  <si>
    <t>1249300006625</t>
  </si>
  <si>
    <t>287552, ДОНЕЦКАЯ НАРОДНАЯ РЕСПУБЛИКА, МАРИУПОЛЬ, Г. МАРИУПОЛЬ, Г. МАРИУПОЛЬ, УЛ. КУРЧАТОВА, Д. 37, КВ. 12</t>
  </si>
  <si>
    <t>ТСН "ГАРАЖНО-СТРОИТЕЛЬНЫЙ КООПЕРАТИВ "СИГНАЛ ПЛЮС"</t>
  </si>
  <si>
    <t>ТОВАРИЩЕСТВО СОБСТВЕННИКОВ НЕДВИЖИМОСТИ "ГАРАЖНО-СТРОИТЕЛЬНЫЙ КООПЕРАТИВ "СИГНАЛ ПЛЮС"</t>
  </si>
  <si>
    <t>9310013542</t>
  </si>
  <si>
    <t>1249300007813</t>
  </si>
  <si>
    <t>ДОНЕЦКАЯ НАРОДНАЯ РЕСПУБЛИКА, МАРИУПОЛЬ, Г. МАРИУПОЛЬ, Г. МАРИУПОЛЬ, УЛ. ВАТУТИНА, Д. 19</t>
  </si>
  <si>
    <t>ТСН "ГК "ЛУЧ"</t>
  </si>
  <si>
    <t>ТОВАРИЩЕСТВО СОБСТВЕННИКОВ НЕДВИЖИМОСТИ "ГАРАЖНЫЙ КООПЕРАТИВ "ЛУЧ"</t>
  </si>
  <si>
    <t>9310013180</t>
  </si>
  <si>
    <t>1249300006449</t>
  </si>
  <si>
    <t>ДОНЕЦКАЯ НАРОДНАЯ РЕСПУБЛИКА, МАРИУПОЛЬ, Г. МАРИУПОЛЬ, Г. МАРИУПОЛЬ, УЛ. КОНТРОЛЬНАЯ, Д. 1</t>
  </si>
  <si>
    <t>ТСН "ГПК "АМЛ-14"</t>
  </si>
  <si>
    <t>ТОВАРИЩЕСТВО СОБСТВЕННИКОВ НЕДВИЖИМОСТИ "ГАРАЖНЫЙ ПОТРЕБИТЕЛЬСКИЙ КООПЕРАТИВ "АВТОМОТОЛЮБИТЕЛЬ-14"</t>
  </si>
  <si>
    <t>9310013550</t>
  </si>
  <si>
    <t>1249300007835</t>
  </si>
  <si>
    <t>ДОНЕЦКАЯ НАРОДНАЯ РЕСПУБЛИКА, МАРИУПОЛЬ, Г. МАРИУПОЛЬ, Г. МАРИУПОЛЬ, УЛ. РЕЧНАЯ, Д. 6</t>
  </si>
  <si>
    <t>МЕСТНАЯ РЕЛИГИОЗНАЯ ОРГАНИЗАЦИЯ ЦЕРКОВЬ ХРИСТИАН ВЕРЫ ЕВАНГЕЛЬСКОЙ ПЯТИДЕСЯТНИКОВ "НОВАЯ ЖИЗНЬ" ГОРОДА МАРИУПОЛЯ</t>
  </si>
  <si>
    <t>9310013574</t>
  </si>
  <si>
    <t>1249300007923</t>
  </si>
  <si>
    <t>ООО "АЛЬЯНС ПЕРЕРАБОТКА"</t>
  </si>
  <si>
    <t>ОБЩЕСТВО С ОГРАНИЧЕННОЙ ОТВЕТСТВЕННОСТЬЮ " АЛЬЯНС ПЕРЕРАБОТКА"</t>
  </si>
  <si>
    <t>9310013581</t>
  </si>
  <si>
    <t>1249300007967</t>
  </si>
  <si>
    <t>ДОНЕЦКАЯ НАРОДНАЯ РЕСПУБЛИКА, МАРИУПОЛЬ, Г. МАРИУПОЛЬ, Г. МАРИУПОЛЬ, УЛ. КАЛЬМИУССКАЯ, Д. 20</t>
  </si>
  <si>
    <t>ООО "АВТОРСКАЯ КОНДИТЕРСКАЯ НАТАЛЬИ ВАЛЕВСКОЙ"</t>
  </si>
  <si>
    <t>ОБЩЕСТВО С ОГРАНИЧЕННОЙ ОТВЕТСТВЕННОСТЬЮ "АВТОРСКАЯ КОНДИТЕРСКАЯ НАТАЛЬИ ВАЛЕВСКОЙ"</t>
  </si>
  <si>
    <t>9310014169</t>
  </si>
  <si>
    <t>1249300010068</t>
  </si>
  <si>
    <t>454080, ДОНЕЦКАЯ НАРОДНАЯ РЕСПУБЛИКА, МАРИУПОЛЬ, Г. МАРИУПОЛЬ, Г. МАРИУПОЛЬ, УЛ. ЭНГЕЛЬСА, Д. 39, ПОМЕЩ. 41</t>
  </si>
  <si>
    <t>ООО "АРТЕХ"</t>
  </si>
  <si>
    <t>ОБЩЕСТВО С ОГРАНИЧЕННОЙ ОТВЕТСТВЕННОСТЬЮ "АРТЕХ"</t>
  </si>
  <si>
    <t>9310014112</t>
  </si>
  <si>
    <t>1249300009848</t>
  </si>
  <si>
    <t>ДОНЕЦКАЯ НАРОДНАЯ РЕСПУБЛИКА, МАРИУПОЛЬ, Г. МАРИУПОЛЬ, Г. МАРИУПОЛЬ, УЛ. БАХЧИВАНДЖИ, Д. 75</t>
  </si>
  <si>
    <t>ООО "АСГАРД"</t>
  </si>
  <si>
    <t>ОБЩЕСТВО С ОГРАНИЧЕННОЙ ОТВЕТСТВЕННОСТЬЮ "АСГАРД"</t>
  </si>
  <si>
    <t>9310014095</t>
  </si>
  <si>
    <t>1249300009804</t>
  </si>
  <si>
    <t>287549, ДОНЕЦКАЯ НАРОДНАЯ РЕСПУБЛИКА, МАРИУПОЛЬ, Г. МАРИУПОЛЬ, Г. МАРИУПОЛЬ, ПР-КТ МЕТАЛЛУРГОВ, Д. 94, ПОМЕЩ. 137</t>
  </si>
  <si>
    <t>ООО "ГИД"</t>
  </si>
  <si>
    <t>ОБЩЕСТВО С ОГРАНИЧЕННОЙ ОТВЕТСТВЕННОСТЬЮ "ГИД"</t>
  </si>
  <si>
    <t>9310013870</t>
  </si>
  <si>
    <t>1249300009056</t>
  </si>
  <si>
    <t>ДОНЕЦКАЯ НАРОДНАЯ РЕСПУБЛИКА, МАРИУПОЛЬ, Г. МАРИУПОЛЬ, Г. МАРИУПОЛЬ, УЛ. НОВОРОССИЙСКАЯ, Д. 72</t>
  </si>
  <si>
    <t>ООО "ГОМОНКО"</t>
  </si>
  <si>
    <t>ОБЩЕСТВО С ОГРАНИЧЕННОЙ ОТВЕТСТВЕННОСТЬЮ "ГОМОНКО"</t>
  </si>
  <si>
    <t>9310013599</t>
  </si>
  <si>
    <t>1249300008011</t>
  </si>
  <si>
    <t>ДОНЕЦКАЯ НАРОДНАЯ РЕСПУБЛИКА, МАРИУПОЛЬ, Г. МАРИУПОЛЬ, Г. МАРИУПОЛЬ, ПР-КТ СТРОИТЕЛЕЙ, Д. 21, ПОМЕЩ. 5</t>
  </si>
  <si>
    <t>ООО "ГРЧ-ГРУПП"</t>
  </si>
  <si>
    <t>ОБЩЕСТВО С ОГРАНИЧЕННОЙ ОТВЕТСТВЕННОСТЬЮ "ГРЧ-ГРУПП"</t>
  </si>
  <si>
    <t>9310013790</t>
  </si>
  <si>
    <t>1249300008759</t>
  </si>
  <si>
    <t>287512, ДОНЕЦКАЯ НАРОДНАЯ РЕСПУБЛИКА, МАРИУПОЛЬ, Г. МАРИУПОЛЬ, Г. МАРИУПОЛЬ, УЛ. УРИЦКОГО, Д. 100, КВ. 5</t>
  </si>
  <si>
    <t>ООО "ДАРИЙ"</t>
  </si>
  <si>
    <t>ОБЩЕСТВО С ОГРАНИЧЕННОЙ ОТВЕТСТВЕННОСТЬЮ "ДАРИЙ"</t>
  </si>
  <si>
    <t>9310013609</t>
  </si>
  <si>
    <t>1249300008055</t>
  </si>
  <si>
    <t>ДОНЕЦКАЯ НАРОДНАЯ РЕСПУБЛИКА, МАРИУПОЛЬ, Г. МАРИУПОЛЬ, Г. МАРИУПОЛЬ, УЛ. ЕВПАТОРИЙСКАЯ, Д. 4</t>
  </si>
  <si>
    <t>ООО "ДОНБАССЭНЕРГОСБЫТ"</t>
  </si>
  <si>
    <t>ОБЩЕСТВО С ОГРАНИЧЕННОЙ ОТВЕТСТВЕННОСТЬЮ "ДОНБАССЭНЕРГОСБЫТ"</t>
  </si>
  <si>
    <t>9310013736</t>
  </si>
  <si>
    <t>1249300008495</t>
  </si>
  <si>
    <t>287549, ДОНЕЦКАЯ НАРОДНАЯ РЕСПУБЛИКА, МАРИУПОЛЬ, Г. МАРИУПОЛЬ, Г. МАРИУПОЛЬ, Б-Р ШЕВЧЕНКО, Д. 301, ПОМЕЩ. 130</t>
  </si>
  <si>
    <t>ООО "ЗАКАТ"</t>
  </si>
  <si>
    <t>ОБЩЕСТВО С ОГРАНИЧЕННОЙ ОТВЕТСТВЕННОСТЬЮ "ЗАКАТ"</t>
  </si>
  <si>
    <t>9310014024</t>
  </si>
  <si>
    <t>1249300009606</t>
  </si>
  <si>
    <t>ООО "КАЛЬМИУС-ГРУПП"</t>
  </si>
  <si>
    <t>ОБЩЕСТВО С ОГРАНИЧЕННОЙ ОТВЕТСТВЕННОСТЬЮ "КАЛЬМИУС-ГРУПП"</t>
  </si>
  <si>
    <t>9310013750</t>
  </si>
  <si>
    <t>1249300008616</t>
  </si>
  <si>
    <t>ООО "КАД"</t>
  </si>
  <si>
    <t>ОБЩЕСТВО С ОГРАНИЧЕННОЙ ОТВЕТСТВЕННОСТЬЮ "КАЧЕСТВЕННЫЕ АВТОМОБИЛЬНЫЕ ДОРОГИ"</t>
  </si>
  <si>
    <t>9305011910</t>
  </si>
  <si>
    <t>1249300009090</t>
  </si>
  <si>
    <t>ДОНЕЦКАЯ НАРОДНАЯ РЕСПУБЛИКА, МАРИУПОЛЬ, Г. МАРИУПОЛЬ, Г. МАРИУПОЛЬ, ПР-КТ ЛУНИНА, Д. 21</t>
  </si>
  <si>
    <t>ООО "КОМТРЕЙД"</t>
  </si>
  <si>
    <t>ОБЩЕСТВО С ОГРАНИЧЕННОЙ ОТВЕТСТВЕННОСТЬЮ "КОМТРЕЙД"</t>
  </si>
  <si>
    <t>9310014070</t>
  </si>
  <si>
    <t>1249300009738</t>
  </si>
  <si>
    <t>ДОНЕЦКАЯ НАРОДНАЯ РЕСПУБЛИКА, МАРИУПОЛЬ, Г. МАРИУПОЛЬ, Г. МАРИУПОЛЬ, УЛ. ВОИНОВ-ОСВОБОДИТЕЛЕЙ, Д. 2/3</t>
  </si>
  <si>
    <t>ООО "МАГНАТ АВТО"</t>
  </si>
  <si>
    <t>ОБЩЕСТВО С ОГРАНИЧЕННОЙ ОТВЕТСТВЕННОСТЬЮ "МАГНАТ АВТО"</t>
  </si>
  <si>
    <t>9310013743</t>
  </si>
  <si>
    <t>1249300008561</t>
  </si>
  <si>
    <t>ДОНЕЦКАЯ НАРОДНАЯ РЕСПУБЛИКА, МАРИУПОЛЬ, Г. МАРИУПОЛЬ, Г. МАРИУПОЛЬ, УЛ. ПОЧТОВАЯ, Д. 34</t>
  </si>
  <si>
    <t>ООО "МАРЛЕКС"</t>
  </si>
  <si>
    <t>ОБЩЕСТВО С ОГРАНИЧЕННОЙ ОТВЕТСТВЕННОСТЬЮ "МАРЛЕКС"</t>
  </si>
  <si>
    <t>9310013775</t>
  </si>
  <si>
    <t>1249300008671</t>
  </si>
  <si>
    <t>ДОНЕЦКАЯ НАРОДНАЯ РЕСПУБЛИКА, МАРИУПОЛЬ, Г. МАРИУПОЛЬ, Г. МАРИУПОЛЬ, ПР-КТ ЛЕНИНА, Д. 23, ПОМЕЩ. 10</t>
  </si>
  <si>
    <t>ООО "МЦЭО"</t>
  </si>
  <si>
    <t>ОБЩЕСТВО С ОГРАНИЧЕННОЙ ОТВЕТСТВЕННОСТЬЮ "МЕЖРЕГИОНАЛЬНЫЙ ЦЕНТР ЭКСПЕРТОЛОГИИ И ОЦЕНКИ"</t>
  </si>
  <si>
    <t>9310014063</t>
  </si>
  <si>
    <t>1249300009705</t>
  </si>
  <si>
    <t>ООО "МЕТАЛЛОИНВЕСТ ДНР"</t>
  </si>
  <si>
    <t>ОБЩЕСТВО С ОГРАНИЧЕННОЙ ОТВЕТСТВЕННОСТЬЮ "МЕТАЛЛОИНВЕСТ ДНР"</t>
  </si>
  <si>
    <t>9310013768</t>
  </si>
  <si>
    <t>1249300008660</t>
  </si>
  <si>
    <t>287501, ДОНЕЦКАЯ НАРОДНАЯ РЕСПУБЛИКА, МАРИУПОЛЬ, Г. МАРИУПОЛЬ, Г. МАРИУПОЛЬ, ПР-КТ МЕТАЛЛУРГОВ, Д. 64, ПОМЕЩ. 105</t>
  </si>
  <si>
    <t>ООО "МИР ХОЛОДА"</t>
  </si>
  <si>
    <t>ОБЩЕСТВО С ОГРАНИЧЕННОЙ ОТВЕТСТВЕННОСТЬЮ "МИР ХОЛОДА"</t>
  </si>
  <si>
    <t>9310013895</t>
  </si>
  <si>
    <t>1249300009089</t>
  </si>
  <si>
    <t>ДОНЕЦКАЯ НАРОДНАЯ РЕСПУБЛИКА, МАРИУПОЛЬ, Г. МАРИУПОЛЬ, Г. МАРИУПОЛЬ, УЛ. 130 ТАГАНРОГСКОЙ ДИВИЗИИ, Д. 70</t>
  </si>
  <si>
    <t>ООО "МСАТ"</t>
  </si>
  <si>
    <t>ОБЩЕСТВО С ОГРАНИЧЕННОЙ ОТВЕТСТВЕННОСТЬЮ "МСАТ"</t>
  </si>
  <si>
    <t>9310013849</t>
  </si>
  <si>
    <t>1249300008902</t>
  </si>
  <si>
    <t>ООО "НИН"</t>
  </si>
  <si>
    <t>ОБЩЕСТВО С ОГРАНИЧЕННОЙ ОТВЕТСТВЕННОСТЬЮ "НИН"</t>
  </si>
  <si>
    <t>9310013623</t>
  </si>
  <si>
    <t>1249300008110</t>
  </si>
  <si>
    <t>ДОНЕЦКАЯ НАРОДНАЯ РЕСПУБЛИКА, МАРИУПОЛЬ, Г. МАРИУПОЛЬ, Г. МАРИУПОЛЬ, ПР-КТ ЛЕНИНА, Д. 24/16, ПОМЕЩ. 72</t>
  </si>
  <si>
    <t>9310014088</t>
  </si>
  <si>
    <t>1249300009749</t>
  </si>
  <si>
    <t>ООО "ПЕРЕСВЕТ"</t>
  </si>
  <si>
    <t>ОБЩЕСТВО С ОГРАНИЧЕННОЙ ОТВЕТСТВЕННОСТЬЮ "ПЕРЕСВЕТ"</t>
  </si>
  <si>
    <t>9310013863</t>
  </si>
  <si>
    <t>1249300009001</t>
  </si>
  <si>
    <t>ООО "ПКФ "КД"</t>
  </si>
  <si>
    <t>ОБЩЕСТВО С ОГРАНИЧЕННОЙ ОТВЕТСТВЕННОСТЬЮ "ПРОИЗВОДСТВЕННО-КОММЕРЧЕСКАЯ ФИРМА "КД"</t>
  </si>
  <si>
    <t>9310014031</t>
  </si>
  <si>
    <t>1249300009628</t>
  </si>
  <si>
    <t>ДОНЕЦКАЯ НАРОДНАЯ РЕСПУБЛИКА, МАРИУПОЛЬ, Г. МАРИУПОЛЬ, Г. МАРИУПОЛЬ, УЛ. МОРСКИХ ДЕСАНТНИКОВ, Д. 2А</t>
  </si>
  <si>
    <t>ООО "ПРОМШИНА"</t>
  </si>
  <si>
    <t>ОБЩЕСТВО С ОГРАНИЧЕННОЙ ОТВЕТСТВЕННОСТЬЮ "ПРОМШИНА"</t>
  </si>
  <si>
    <t>9310014000</t>
  </si>
  <si>
    <t>1249300009540</t>
  </si>
  <si>
    <t>287526, ДОНЕЦКАЯ НАРОДНАЯ РЕСПУБЛИКА, МАРИУПОЛЬ, Г. МАРИУПОЛЬ, Г. МАРИУПОЛЬ, УЛ. ОЛИМПИЙСКАЯ, Д. 55</t>
  </si>
  <si>
    <t>ООО "РУБИН"</t>
  </si>
  <si>
    <t>ОБЩЕСТВО С ОГРАНИЧЕННОЙ ОТВЕТСТВЕННОСТЬЮ "РУБИН"</t>
  </si>
  <si>
    <t>9310013800</t>
  </si>
  <si>
    <t>1249300008792</t>
  </si>
  <si>
    <t>287541, ДОНЕЦКАЯ НАРОДНАЯ РЕСПУБЛИКА, МАРИУПОЛЬ, Г. МАРИУПОЛЬ, Г. МАРИУПОЛЬ, Б-Р КОМСОМОЛЬСКИЙ, Д. 5</t>
  </si>
  <si>
    <t>ООО "СК "РЕГИОН 180"</t>
  </si>
  <si>
    <t>ОБЩЕСТВО С ОГРАНИЧЕННОЙ ОТВЕТСТВЕННОСТЬЮ "СК "РЕГИОН 180"</t>
  </si>
  <si>
    <t>9310013983</t>
  </si>
  <si>
    <t>1249300009496</t>
  </si>
  <si>
    <t>287504, ДОНЕЦКАЯ НАРОДНАЯ РЕСПУБЛИКА, МАРИУПОЛЬ, Г. МАРИУПОЛЬ, Г. МАРИУПОЛЬ, ПР-КТ ИЛЬИЧА, Д. 75А, ОФИС 8</t>
  </si>
  <si>
    <t>ООО "СЗ "ВОСХОД""</t>
  </si>
  <si>
    <t>ОБЩЕСТВО С ОГРАНИЧЕННОЙ ОТВЕТСТВЕННОСТЬЮ "СПЕЦИАЛИЗИРОВАННЫЙ ЗАСТРОЙЩИК "ВОСХОД""</t>
  </si>
  <si>
    <t>9310013976</t>
  </si>
  <si>
    <t>1249300009485</t>
  </si>
  <si>
    <t>ДОНЕЦКАЯ НАРОДНАЯ РЕСПУБЛИКА, МАРИУПОЛЬ, Г. МАРИУПОЛЬ, Г. МАРИУПОЛЬ, УЛ. ОЛИМПИЙСКАЯ, Д. 197Г</t>
  </si>
  <si>
    <t>ООО "СПЕЦТЕХСЕРВИС"</t>
  </si>
  <si>
    <t>ОБЩЕСТВО С ОГРАНИЧЕННОЙ ОТВЕТСТВЕННОСТЬЮ "СПЕЦТЕХСЕРВИС"</t>
  </si>
  <si>
    <t>9310014120</t>
  </si>
  <si>
    <t>1249300009914</t>
  </si>
  <si>
    <t>ООО "СТАТУС СТРОЙ"</t>
  </si>
  <si>
    <t>ОБЩЕСТВО С ОГРАНИЧЕННОЙ ОТВЕТСТВЕННОСТЬЮ "СТАТУС СТРОЙ"</t>
  </si>
  <si>
    <t>9310013662</t>
  </si>
  <si>
    <t>1249300008242</t>
  </si>
  <si>
    <t>ДОНЕЦКАЯ НАРОДНАЯ РЕСПУБЛИКА, МАРИУПОЛЬ, Г. МАРИУПОЛЬ, Г. МАРИУПОЛЬ, УЛ. ЛАДЫГИНА, Д. 25Б</t>
  </si>
  <si>
    <t>ООО "СК НОВЫЙ ГОРОД"</t>
  </si>
  <si>
    <t>ОБЩЕСТВО С ОГРАНИЧЕННОЙ ОТВЕТСТВЕННОСТЬЮ "СТРОИТЕЛЬНАЯ КОМПАНИЯ НОВЫЙ ГОРОД"</t>
  </si>
  <si>
    <t>9310014056</t>
  </si>
  <si>
    <t>1249300009683</t>
  </si>
  <si>
    <t>287537, ДОНЕЦКАЯ НАРОДНАЯ РЕСПУБЛИКА, МАРИУПОЛЬ, Г. МАРИУПОЛЬ, Г. МАРИУПОЛЬ, ПР-КТ СТРОИТЕЛЕЙ, Д. 84, КВ. 83</t>
  </si>
  <si>
    <t>ООО "ТД ЦЕНТР"</t>
  </si>
  <si>
    <t>ОБЩЕСТВО С ОГРАНИЧЕННОЙ ОТВЕТСТВЕННОСТЬЮ "ТОРГОВЫЙ ДОМ ЦЕНТР"</t>
  </si>
  <si>
    <t>9310013704</t>
  </si>
  <si>
    <t>1249300008341</t>
  </si>
  <si>
    <t>ДОНЕЦКАЯ НАРОДНАЯ РЕСПУБЛИКА, МАРИУПОЛЬ, Г. МАРИУПОЛЬ, Г. МАРИУПОЛЬ, УЛ. ЛЕРМОНТОВА, Д. 39, ОФИС 3</t>
  </si>
  <si>
    <t>ООО "ФЕС"</t>
  </si>
  <si>
    <t>ОБЩЕСТВО С ОГРАНИЧЕННОЙ ОТВЕТСТВЕННОСТЬЮ "ФЕС"</t>
  </si>
  <si>
    <t>9310014144</t>
  </si>
  <si>
    <t>1249300010002</t>
  </si>
  <si>
    <t>ДОНЕЦКАЯ НАРОДНАЯ РЕСПУБЛИКА, МАРИУПОЛЬ, Г. МАРИУПОЛЬ, Г. МАРИУПОЛЬ, УЛ. ЧАПАЕВА, Д. 52</t>
  </si>
  <si>
    <t>ООО "ЛИНГВА"</t>
  </si>
  <si>
    <t>ОБЩЕСТВО С ОГРАНИЧЕННОЙ ОТВЕТСТВЕННОСТЬЮ "ЛИНГВА"</t>
  </si>
  <si>
    <t>9310013856</t>
  </si>
  <si>
    <t>1249300008968</t>
  </si>
  <si>
    <t>ДОНЕЦКАЯ НАРОДНАЯ РЕСПУБЛИКА, МАРИУПОЛЬ, Г. МАРИУПОЛЬ, Г. МАРИУПОЛЬ, ПР-КТ НАХИМОВА, ЗД. 192</t>
  </si>
  <si>
    <t>ООО "ЧОО "ПАТРИОТ"</t>
  </si>
  <si>
    <t>ОБЩЕСТВО С ОГРАНИЧЕННОЙ ОТВЕТСТВЕННОСТЬЮ "ЧАСТНАЯ ОХРАННАЯ ОРГАНИЗАЦИЯ "ПАТРИОТ"</t>
  </si>
  <si>
    <t>9310013729</t>
  </si>
  <si>
    <t>1249300008429</t>
  </si>
  <si>
    <t>ООО "ЮГСТРОЙТОРГ"</t>
  </si>
  <si>
    <t>ОБЩЕСТВО С ОГРАНИЧЕННОЙ ОТВЕТСТВЕННОСТЬЮ "ЮГСТРОЙТОРГ"</t>
  </si>
  <si>
    <t>9310013824</t>
  </si>
  <si>
    <t>1249300008847</t>
  </si>
  <si>
    <t>ООО "ГЕОЦЕНТР"</t>
  </si>
  <si>
    <t>ОБЩЕСТВО С ОГРАНИЧЕННОЙ ОТВЕТСТВЕННОСТЬЮ"ГЕОЦЕНТР"</t>
  </si>
  <si>
    <t>9310013905</t>
  </si>
  <si>
    <t>1249300009111</t>
  </si>
  <si>
    <t>ДОНЕЦКАЯ НАРОДНАЯ РЕСПУБЛИКА, МАРИУПОЛЬ, Г. МАРИУПОЛЬ, Г. МАРИУПОЛЬ, УЛ. ТОРГОВАЯ, Д. 31</t>
  </si>
  <si>
    <t>ПК "ОБЩЕСТВО ЦВЕТОВОДОВ-ЛЮБИТЕЛЕЙ "ХРИЗАНТЕМА"</t>
  </si>
  <si>
    <t>ПОТРЕБИТЕЛЬСКИЙ КООПЕРАТИВ "ОБЩЕСТВО ЦВЕТОВОДОВ-ЛЮБИТЕЛЕЙ "ХРИЗАНТЕМА"</t>
  </si>
  <si>
    <t>9310013951</t>
  </si>
  <si>
    <t>1249300009441</t>
  </si>
  <si>
    <t>ДОНЕЦКАЯ НАРОДНАЯ РЕСПУБЛИКА, МАРИУПОЛЬ, Г. МАРИУПОЛЬ, Г. МАРИУПОЛЬ, УЛ. КРАСНАЯ, Д. 13</t>
  </si>
  <si>
    <t>ТСН "ЮНИС"</t>
  </si>
  <si>
    <t>ТОВАРИЩЕСТВО СОБСТВЕННИКОВ НЕДВИЖИМОСТИ  "ЮНИС"</t>
  </si>
  <si>
    <t>9310013831</t>
  </si>
  <si>
    <t>1249300008858</t>
  </si>
  <si>
    <t>ДОНЕЦКАЯ НАРОДНАЯ РЕСПУБЛИКА, МАРИУПОЛЬ, Г. МАРИУПОЛЬ, Г. МАРИУПОЛЬ, УЛ. СОРОЧИНСКАЯ, Д. 143</t>
  </si>
  <si>
    <t>ТСН "АВТОГАРАЖИ "МИРАЖ"</t>
  </si>
  <si>
    <t>ТОВАРИЩЕСТВО СОБСТВЕННИКОВ НЕДВИЖИМОСТИ "АВТОГАРАЖИ "МИРАЖ"</t>
  </si>
  <si>
    <t>9310014137</t>
  </si>
  <si>
    <t>1249300009970</t>
  </si>
  <si>
    <t>ЖСК "ЮПИТЕР"</t>
  </si>
  <si>
    <t>ЖИЛИЩНО-СТРОИТЕЛЬНЫЙ КООПЕРАТИВ "ЮПИТЕР"</t>
  </si>
  <si>
    <t>9310014384</t>
  </si>
  <si>
    <t>1249300010816</t>
  </si>
  <si>
    <t>287501, ДОНЕЦКАЯ НАРОДНАЯ РЕСПУБЛИКА, МАРИУПОЛЬ, Г. МАРИУПОЛЬ, Г. МАРИУПОЛЬ, ПР-КТ ЛЕНИНА, Д. 83, КОМ. 7</t>
  </si>
  <si>
    <t>ООО "АЗОВ НАТУРАЛ ФУД"</t>
  </si>
  <si>
    <t>ОБЩЕСТВО С ОГРАНИЧЕННОЙ ОТВЕТСТВЕННОСТЬЮ "АЗОВ НАТУРАЛ ФУД"</t>
  </si>
  <si>
    <t>9310014458</t>
  </si>
  <si>
    <t>1249300010970</t>
  </si>
  <si>
    <t>ДОНЕЦКАЯ НАРОДНАЯ РЕСПУБЛИКА, МАРИУПОЛЬ, Г. МАРИУПОЛЬ, Г. МАРИУПОЛЬ, ПЕР. ШЛАКОВЫЙ, Д. 9</t>
  </si>
  <si>
    <t>ООО "ВИРТУМ СТРОЙ"</t>
  </si>
  <si>
    <t>ОБЩЕСТВО С ОГРАНИЧЕННОЙ ОТВЕТСТВЕННОСТЬЮ "ВИРТУМ СТРОЙ"</t>
  </si>
  <si>
    <t>9310014352</t>
  </si>
  <si>
    <t>1249300010673</t>
  </si>
  <si>
    <t>ДОНЕЦКАЯ НАРОДНАЯ РЕСПУБЛИКА, МАРИУПОЛЬ, Г. МАРИУПОЛЬ, Г. МАРИУПОЛЬ, УЛ. ХАРЛАМПИЕВСКАЯ, Д. 22</t>
  </si>
  <si>
    <t>ООО "ИРРУСС"</t>
  </si>
  <si>
    <t>ОБЩЕСТВО С ОГРАНИЧЕННОЙ ОТВЕТСТВЕННОСТЬЮ "ИРРУСС"</t>
  </si>
  <si>
    <t>9310014391</t>
  </si>
  <si>
    <t>1249300010893</t>
  </si>
  <si>
    <t>ДОНЕЦКАЯ НАРОДНАЯ РЕСПУБЛИКА, МАРИУПОЛЬ, Г. МАРИУПОЛЬ, Г. МАРИУПОЛЬ, ПР-КТ ЛЕНИНА, Д. 23, ПОМЕЩ. 2</t>
  </si>
  <si>
    <t>ООО "ЛЮБЧИК"</t>
  </si>
  <si>
    <t>ОБЩЕСТВО С ОГРАНИЧЕННОЙ ОТВЕТСТВЕННОСТЬЮ "ЛЮБЧИК"</t>
  </si>
  <si>
    <t>9310014176</t>
  </si>
  <si>
    <t>1249300010090</t>
  </si>
  <si>
    <t>ДОНЕЦКАЯ НАРОДНАЯ РЕСПУБЛИКА, МАРИУПОЛЬ, Г. МАРИУПОЛЬ, Г. МАРИУПОЛЬ, ПР-КТ НАХИМОВА, Д. 158</t>
  </si>
  <si>
    <t>ООО "МОРСКОЙ КОТ"</t>
  </si>
  <si>
    <t>ОБЩЕСТВО С ОГРАНИЧЕННОЙ ОТВЕТСТВЕННОСТЬЮ "МОРСКОЙ КОТ"</t>
  </si>
  <si>
    <t>9310014433</t>
  </si>
  <si>
    <t>1249300010948</t>
  </si>
  <si>
    <t>ДОНЕЦКАЯ НАРОДНАЯ РЕСПУБЛИКА, МАРИУПОЛЬ, Г. МАРИУПОЛЬ, Г. МАРИУПОЛЬ, УЛ. ГРЕЧЕСКАЯ, Д. 13</t>
  </si>
  <si>
    <t>ООО "ОРАНЖЕВЫЙ"</t>
  </si>
  <si>
    <t>ОБЩЕСТВО С ОГРАНИЧЕННОЙ ОТВЕТСТВЕННОСТЬЮ "ОРАНЖЕВЫЙ"</t>
  </si>
  <si>
    <t>9310014426</t>
  </si>
  <si>
    <t>1249300010937</t>
  </si>
  <si>
    <t>ДОНЕЦКАЯ НАРОДНАЯ РЕСПУБЛИКА, МАРИУПОЛЬ, Г. МАРИУПОЛЬ, Г. МАРИУПОЛЬ, ПР-КТ НАХИМОВА, Д. 184</t>
  </si>
  <si>
    <t>ООО "ОРБИТА"</t>
  </si>
  <si>
    <t>ОБЩЕСТВО С ОГРАНИЧЕННОЙ ОТВЕТСТВЕННОСТЬЮ "ОРБИТА"</t>
  </si>
  <si>
    <t>9310014419</t>
  </si>
  <si>
    <t>1249300010926</t>
  </si>
  <si>
    <t>287524, ДОНЕЦКАЯ НАРОДНАЯ РЕСПУБЛИКА, МАРИУПОЛЬ, Г. МАРИУПОЛЬ, Г. МАРИУПОЛЬ, ПР-КТ МЕТАЛЛУРГОВ, Д. 207, ОФИС 26</t>
  </si>
  <si>
    <t>ООО "ПАРТНЁР ПРО"</t>
  </si>
  <si>
    <t>ОБЩЕСТВО С ОГРАНИЧЕННОЙ ОТВЕТСТВЕННОСТЬЮ "ПАРТНЁР ПРО"</t>
  </si>
  <si>
    <t>9310014465</t>
  </si>
  <si>
    <t>1249300011047</t>
  </si>
  <si>
    <t>ООО "ПОДОРОЖНИК"</t>
  </si>
  <si>
    <t>ОБЩЕСТВО С ОГРАНИЧЕННОЙ ОТВЕТСТВЕННОСТЬЮ "ПОДОРОЖНИК"</t>
  </si>
  <si>
    <t>9310014345</t>
  </si>
  <si>
    <t>1249300010662</t>
  </si>
  <si>
    <t>ДОНЕЦКАЯ НАРОДНАЯ РЕСПУБЛИКА, МАРИУПОЛЬ, Г. МАРИУПОЛЬ, Г. МАРИУПОЛЬ, УЛ. КРАСНОМАЯКСКАЯ, Д. 2, К. 1, ОФИС 205</t>
  </si>
  <si>
    <t>ООО "СЗ "АНТАРЕС"</t>
  </si>
  <si>
    <t>ОБЩЕСТВО С ОГРАНИЧЕННОЙ ОТВЕТСТВЕННОСТЬЮ "СПЕЦИАЛИЗИРОВАННЫЙ ЗАСТРОЙЩИК "АНТАРЕС"</t>
  </si>
  <si>
    <t>9310014480</t>
  </si>
  <si>
    <t>1249300011102</t>
  </si>
  <si>
    <t>ДОНЕЦКАЯ НАРОДНАЯ РЕСПУБЛИКА, МАРИУПОЛЬ, Г. МАРИУПОЛЬ, Г. МАРИУПОЛЬ, УЛ. БАХЧИВАНДЖИ, ЗД. 57, ОФИС 1</t>
  </si>
  <si>
    <t>ООО "СЗ "СИРИУС БИЛД"</t>
  </si>
  <si>
    <t>ОБЩЕСТВО С ОГРАНИЧЕННОЙ ОТВЕТСТВЕННОСТЬЮ "СПЕЦИАЛИЗИРОВАННЫЙ ЗАСТРОЙЩИК "СИРИУС БИЛД"</t>
  </si>
  <si>
    <t>9310014320</t>
  </si>
  <si>
    <t>1249300010607</t>
  </si>
  <si>
    <t>ДОНЕЦКАЯ НАРОДНАЯ РЕСПУБЛИКА, МАРИУПОЛЬ, Г. МАРИУПОЛЬ, Г. МАРИУПОЛЬ, УЛ. БАХЧИВАНДЖИ, ЗД. 57, ПОМЕЩ. 2</t>
  </si>
  <si>
    <t>ООО "ТЕХНОТЕСТ"</t>
  </si>
  <si>
    <t>ОБЩЕСТВО С ОГРАНИЧЕННОЙ ОТВЕТСТВЕННОСТЬЮ "ТЕХНОТЕСТ"</t>
  </si>
  <si>
    <t>9310014338</t>
  </si>
  <si>
    <t>1249300010651</t>
  </si>
  <si>
    <t>ДОНЕЦКАЯ НАРОДНАЯ РЕСПУБЛИКА, МАРИУПОЛЬ, Г. МАРИУПОЛЬ, Г. МАРИУПОЛЬ, ПР-КТ ЛУНИНА, Д. 11А, ПОМЕЩ. 77</t>
  </si>
  <si>
    <t>ООО "ТОРГОВЫЙ ДОМ "АБВ"</t>
  </si>
  <si>
    <t>ОБЩЕСТВО С ОГРАНИЧЕННОЙ ОТВЕТСТВЕННОСТЬЮ "ТОРГОВЫЙ ДОМ "АБВ"</t>
  </si>
  <si>
    <t>9310014401</t>
  </si>
  <si>
    <t>1249300010915</t>
  </si>
  <si>
    <t>287549, ДОНЕЦКАЯ НАРОДНАЯ РЕСПУБЛИКА, МАРИУПОЛЬ, Г. МАРИУПОЛЬ, Г. МАРИУПОЛЬ, Б-Р ШЕВЧЕНКО, Д. 301, КВ. 93</t>
  </si>
  <si>
    <t>ООО "ТРИАСС"</t>
  </si>
  <si>
    <t>ОБЩЕСТВО С ОГРАНИЧЕННОЙ ОТВЕТСТВЕННОСТЬЮ "ТРИАСС"</t>
  </si>
  <si>
    <t>9310014306</t>
  </si>
  <si>
    <t>1249300010530</t>
  </si>
  <si>
    <t>287510, ДОНЕЦКАЯ НАРОДНАЯ РЕСПУБЛИКА, МАРИУПОЛЬ, Г. МАРИУПОЛЬ, Г. МАРИУПОЛЬ, ПР-КТ ЛУНИНА, Д. 33, ПОМЕЩ. 73</t>
  </si>
  <si>
    <t>ООО "ЭКСПЕРТСТРОЙ"</t>
  </si>
  <si>
    <t>ОБЩЕСТВО С ОГРАНИЧЕННОЙ ОТВЕТСТВЕННОСТЬЮ "ЭКСПЕРТСТРОЙ"</t>
  </si>
  <si>
    <t>9310014472</t>
  </si>
  <si>
    <t>1249300011080</t>
  </si>
  <si>
    <t>ДОНЕЦКАЯ НАРОДНАЯ РЕСПУБЛИКА, МАРИУПОЛЬ, Г. МАРИУПОЛЬ, Г. МАРИУПОЛЬ, УЛ. КРАСНОМАЯКСКАЯ, Д. 2, К. 1, ОФИС 206</t>
  </si>
  <si>
    <t>ООО СЗ"АЗОВ-ИНЖИНИРИНГ"</t>
  </si>
  <si>
    <t>ОБЩЕСТВО С ОГРАНИЧЕННОЙ ОТВЕТСТВЕННОСТЬЮ СПЕЦИАЛИЗИРОВАННЫЙ ЗАСТРОЙЩИК"АЗОВ-ИНЖИНИРИНГ"</t>
  </si>
  <si>
    <t>9310014440</t>
  </si>
  <si>
    <t>1249300010959</t>
  </si>
  <si>
    <t>СНТ "ПАРУС"</t>
  </si>
  <si>
    <t>САДОВОДЧЕСКОЕ НЕКОММЕРЧЕСКОЕ ТОВАРИЩЕСТВО "ПАРУС"</t>
  </si>
  <si>
    <t>9310011954</t>
  </si>
  <si>
    <t>1249300001125</t>
  </si>
  <si>
    <t>ДОНЕЦКАЯ НАРОДНАЯ РЕСПУБЛИКА, МАРИУПОЛЬ, Г. МАРИУПОЛЬ, Г. МАРИУПОЛЬ, ПЕР. НОВОРОССИЙСКИЙ, Д. 64</t>
  </si>
  <si>
    <t>ТСН "СИГНАЛ-ПЛЮС"</t>
  </si>
  <si>
    <t>ТОВАРИЩЕСТВО СОБСТВЕННИКОВ НЕДВИЖИМОСТИ "СИГНАЛ-ПЛЮС"</t>
  </si>
  <si>
    <t>9310014360</t>
  </si>
  <si>
    <t>1249300010706</t>
  </si>
  <si>
    <t>ДОНЕЦКАЯ НАРОДНАЯ РЕСПУБЛИКА, МАРИУПОЛЬ, Г. МАРИУПОЛЬ, Г. МАРИУПОЛЬ, УЛ. КУПРИНА, Д. 71, КВ. 36</t>
  </si>
  <si>
    <t>ООО "ЭДЕЛЬВЕЙС"</t>
  </si>
  <si>
    <t>ОБЩЕСТВО С ОГРАНИЧЕННОЙ ОТВЕТСТВЕННОСТЬЮ "ЭДЕЛЬВЕЙС"</t>
  </si>
  <si>
    <t>9310015099</t>
  </si>
  <si>
    <t>1249300012983</t>
  </si>
  <si>
    <t>БФ "ДЕЛО ЧЕСТИ"</t>
  </si>
  <si>
    <t>БЛАГОТВОРИТЕЛЬНЫЙ ФОНД "ДЕЛО ЧЕСТИ"</t>
  </si>
  <si>
    <t>9310014578</t>
  </si>
  <si>
    <t>1249300011400</t>
  </si>
  <si>
    <t>287510, ДОНЕЦКАЯ НАРОДНАЯ РЕСПУБЛИКА, МАРИУПОЛЬ, Г. МАРИУПОЛЬ, Г. МАРИУПОЛЬ, УЛ. КРАСНОФЛОТСКАЯ, Д. 196, ОФИС 1</t>
  </si>
  <si>
    <t>МОО "ФКС "АЗОВЬЕ"</t>
  </si>
  <si>
    <t>МЕСТНАЯ ОБЩЕСТВЕННАЯ ОРГАНИЗАЦИЯ "ФЕДЕРАЦИЯ КОННОГО СПОРТА "АЗОВЬЕ"</t>
  </si>
  <si>
    <t>9310014634</t>
  </si>
  <si>
    <t>1249300011586</t>
  </si>
  <si>
    <t>287524, ДОНЕЦКАЯ НАРОДНАЯ РЕСПУБЛИКА, МАРИУПОЛЬ, Г. МАРИУПОЛЬ, Г. МАРИУПОЛЬ, ПР-КТ ИЛЬИЧА, Д. 135, КВ. 63</t>
  </si>
  <si>
    <t>МЕСТНАЯ РЕЛИГИОЗНАЯ ОРГАНИЗАЦИЯ ЦЕРКОВЬ ХРИСТИАН ВЕРЫ ЕВАНГЕЛЬСКОЙ ПЯТИДЕСЯТНИКОВ "БЛАГОДАТЬ" ГОРОДА МАРИУПОЛЯ</t>
  </si>
  <si>
    <t>9310014666</t>
  </si>
  <si>
    <t>1249300011685</t>
  </si>
  <si>
    <t>ДОНЕЦКАЯ НАРОДНАЯ РЕСПУБЛИКА, МАРИУПОЛЬ, Г. МАРИУПОЛЬ, Г. МАРИУПОЛЬ, УЛ. ПАШКОВСКОГО, Д. 43</t>
  </si>
  <si>
    <t>ООО ""ЦСК""</t>
  </si>
  <si>
    <t>ОБЩЕСТВО С ОГРАНИЧЕННОЙ ОТВЕТСТВЕННОСТЬЮ ""ЦЕНТР  СТРОИТЕЛЬНОГО КОНТРОЛЯ""</t>
  </si>
  <si>
    <t>9310014680</t>
  </si>
  <si>
    <t>1249300011718</t>
  </si>
  <si>
    <t>ДОНЕЦКАЯ НАРОДНАЯ РЕСПУБЛИКА, МАРИУПОЛЬ, Г. МАРИУПОЛЬ, Г. МАРИУПОЛЬ, УЛ. НОВАЯ ЖИЗНЬ, Д. 14А, ПОМЕЩ. 3</t>
  </si>
  <si>
    <t>ООО "АДОМАХРЕМСТРОЙ"</t>
  </si>
  <si>
    <t>ОБЩЕСТВО С ОГРАНИЧЕННОЙ ОТВЕТСТВЕННОСТЬЮ "АДОМАХРЕМСТРОЙ"</t>
  </si>
  <si>
    <t>9310014916</t>
  </si>
  <si>
    <t>1249300012279</t>
  </si>
  <si>
    <t>287501, ДОНЕЦКАЯ НАРОДНАЯ РЕСПУБЛИКА, МАРИУПОЛЬ, Г. МАРИУПОЛЬ, Г. МАРИУПОЛЬ, ПР-КТ ЛЕНИНА, Д. 105, ПОМЕЩ. 145</t>
  </si>
  <si>
    <t>ООО "АЕСТРЕЙД"</t>
  </si>
  <si>
    <t>ОБЩЕСТВО С ОГРАНИЧЕННОЙ ОТВЕТСТВЕННОСТЬЮ "АЕСТРЕЙД"</t>
  </si>
  <si>
    <t>9310014289</t>
  </si>
  <si>
    <t>1249300010475</t>
  </si>
  <si>
    <t>ООО "АКВАН-ЮГ"</t>
  </si>
  <si>
    <t>ОБЩЕСТВО С ОГРАНИЧЕННОЙ ОТВЕТСТВЕННОСТЬЮ "АКВАН-ЮГ"</t>
  </si>
  <si>
    <t>9310014793</t>
  </si>
  <si>
    <t>1249300011927</t>
  </si>
  <si>
    <t>287537, ДОНЕЦКАЯ НАРОДНАЯ РЕСПУБЛИКА, МАРИУПОЛЬ, Г. МАРИУПОЛЬ, Г. МАРИУПОЛЬ, УЛ. КЛЕНОВАЯ, Д. 2</t>
  </si>
  <si>
    <t>ООО "БАЗЛЕЕВ"</t>
  </si>
  <si>
    <t>ОБЩЕСТВО С ОГРАНИЧЕННОЙ ОТВЕТСТВЕННОСТЬЮ "БАЗЛЕЕВ"</t>
  </si>
  <si>
    <t>9310015067</t>
  </si>
  <si>
    <t>1249300012785</t>
  </si>
  <si>
    <t>287537, ДОНЕЦКАЯ НАРОДНАЯ РЕСПУБЛИКА, МАРИУПОЛЬ, Г. МАРИУПОЛЬ, Г. МАРИУПОЛЬ, УЛ. КУПРИНА, Д. 11, ПОМЕЩ. 130</t>
  </si>
  <si>
    <t>ООО "ГЕРМЕС-ТРЕЙД"</t>
  </si>
  <si>
    <t>ОБЩЕСТВО С ОГРАНИЧЕННОЙ ОТВЕТСТВЕННОСТЬЮ "ГЕРМЕС-ТРЕЙД"</t>
  </si>
  <si>
    <t>9310014507</t>
  </si>
  <si>
    <t>1249300011256</t>
  </si>
  <si>
    <t>ДОНЕЦКАЯ НАРОДНАЯ РЕСПУБЛИКА, МАРИУПОЛЬ, Г. МАРИУПОЛЬ, Г. МАРИУПОЛЬ, УЛ. ИТАЛЬЯНСКАЯ, Д. 14, ПОМЕЩ. 2</t>
  </si>
  <si>
    <t>ООО "ИНТЕРСТРОЙ"</t>
  </si>
  <si>
    <t>ОБЩЕСТВО С ОГРАНИЧЕННОЙ ОТВЕТСТВЕННОСТЬЮ "ИНТЕРСТРОЙ"</t>
  </si>
  <si>
    <t>9310014546</t>
  </si>
  <si>
    <t>1249300011311</t>
  </si>
  <si>
    <t>ДОНЕЦКАЯ НАРОДНАЯ РЕСПУБЛИКА, МАРИУПОЛЬ, Г. МАРИУПОЛЬ, Г. МАРИУПОЛЬ, УЛ. ДАЧНАЯ, Д. 3, ПОМЕЩ. 1</t>
  </si>
  <si>
    <t>ООО "КОМПЛЕКТ СЕРВИС М"</t>
  </si>
  <si>
    <t>ОБЩЕСТВО С ОГРАНИЧЕННОЙ ОТВЕТСТВЕННОСТЬЮ "КОМПЛЕКТ СЕРВИС М"</t>
  </si>
  <si>
    <t>9310014828</t>
  </si>
  <si>
    <t>1249300012026</t>
  </si>
  <si>
    <t>287537, ДОНЕЦКАЯ НАРОДНАЯ РЕСПУБЛИКА, МАРИУПОЛЬ, Г. МАРИУПОЛЬ, Г. МАРИУПОЛЬ, ПР-КТ СТРОИТЕЛЕЙ, Д. 140, КВ. 53</t>
  </si>
  <si>
    <t>ООО "ЛДО "ЛЕКАРЪ"</t>
  </si>
  <si>
    <t>ОБЩЕСТВО С ОГРАНИЧЕННОЙ ОТВЕТСТВЕННОСТЬЮ "ЛЕЧЕБНО-ДИАГНОСТИЧЕСКОЕ ОБЪЕДИНЕНИЕ "ЛЕКАРЪ"</t>
  </si>
  <si>
    <t>9310014970</t>
  </si>
  <si>
    <t>1249300012466</t>
  </si>
  <si>
    <t>ООО "МАКСБАРТОРГ"</t>
  </si>
  <si>
    <t>ОБЩЕСТВО С ОГРАНИЧЕННОЙ ОТВЕТСТВЕННОСТЬЮ "МАКСБАРТОРГ"</t>
  </si>
  <si>
    <t>9310014539</t>
  </si>
  <si>
    <t>1249300011290</t>
  </si>
  <si>
    <t>ДОНЕЦКАЯ НАРОДНАЯ РЕСПУБЛИКА, МАРИУПОЛЬ, Г. МАРИУПОЛЬ, Г. МАРИУПОЛЬ, УЛ. ПРОЕКТНАЯ, Д. 11А</t>
  </si>
  <si>
    <t>ООО "МЕДПРОМГРУПП"</t>
  </si>
  <si>
    <t>ОБЩЕСТВО С ОГРАНИЧЕННОЙ ОТВЕТСТВЕННОСТЬЮ "МЕДПРОМГРУПП"</t>
  </si>
  <si>
    <t>9310015010</t>
  </si>
  <si>
    <t>1249300012675</t>
  </si>
  <si>
    <t>287501, ДОНЕЦКАЯ НАРОДНАЯ РЕСПУБЛИКА, МАРИУПОЛЬ, Г. МАРИУПОЛЬ, Г. МАРИУПОЛЬ, ПР-КТ ЛЕНИНА, Д. 2</t>
  </si>
  <si>
    <t>ООО "МЕЙКБУД"</t>
  </si>
  <si>
    <t>ОБЩЕСТВО С ОГРАНИЧЕННОЙ ОТВЕТСТВЕННОСТЬЮ "МЕЙКБУД"</t>
  </si>
  <si>
    <t>9310014610</t>
  </si>
  <si>
    <t>1249300011531</t>
  </si>
  <si>
    <t>ДОНЕЦКАЯ НАРОДНАЯ РЕСПУБЛИКА, МАРИУПОЛЬ, Г. МАРИУПОЛЬ, Г. МАРИУПОЛЬ, ПР-КТ МЕТАЛЛУРГОВ, Д. 157, КОМ. 10</t>
  </si>
  <si>
    <t>ООО "МИХБУД"</t>
  </si>
  <si>
    <t>ОБЩЕСТВО С ОГРАНИЧЕННОЙ ОТВЕТСТВЕННОСТЬЮ "МИХБУД"</t>
  </si>
  <si>
    <t>9310014835</t>
  </si>
  <si>
    <t>1249300012037</t>
  </si>
  <si>
    <t>ДОНЕЦКАЯ НАРОДНАЯ РЕСПУБЛИКА, МАРИУПОЛЬ, Г. МАРИУПОЛЬ, Г. МАРИУПОЛЬ, ПР-КТ МЕТАЛЛУРГОВ, Д. 157, ПОМЕЩ. 81</t>
  </si>
  <si>
    <t>ООО "МСР-СТРОЙ"</t>
  </si>
  <si>
    <t>ОБЩЕСТВО С ОГРАНИЧЕННОЙ ОТВЕТСТВЕННОСТЬЮ "МСР-СТРОЙ"</t>
  </si>
  <si>
    <t>9310014867</t>
  </si>
  <si>
    <t>1249300012136</t>
  </si>
  <si>
    <t>ДОНЕЦКАЯ НАРОДНАЯ РЕСПУБЛИКА, МАРИУПОЛЬ, Г. МАРИУПОЛЬ, Г. МАРИУПОЛЬ, ПР-КТ НАХИМОВА, Д. 105, ПОМЕЩ. 42</t>
  </si>
  <si>
    <t>ООО "НПФ "ТЕХНОМАШ"</t>
  </si>
  <si>
    <t>ОБЩЕСТВО С ОГРАНИЧЕННОЙ ОТВЕТСТВЕННОСТЬЮ "НАУЧНО-ПРОИЗВОДСТВЕННАЯ ФИРМА "ТЕХНОМАШ"</t>
  </si>
  <si>
    <t>9310014585</t>
  </si>
  <si>
    <t>1249300011432</t>
  </si>
  <si>
    <t>287524, ДОНЕЦКАЯ НАРОДНАЯ РЕСПУБЛИКА, МАРИУПОЛЬ, Г. МАРИУПОЛЬ, Г. МАРИУПОЛЬ, УЛ. 7 ПРОЕЗД, Д. 5</t>
  </si>
  <si>
    <t>ООО "ПЕРСОНАЛ-ГРУПП"</t>
  </si>
  <si>
    <t>ОБЩЕСТВО С ОГРАНИЧЕННОЙ ОТВЕТСТВЕННОСТЬЮ "ПЕРСОНАЛ-ГРУПП"</t>
  </si>
  <si>
    <t>9310014803</t>
  </si>
  <si>
    <t>1249300011938</t>
  </si>
  <si>
    <t>ООО "ПРОЕКТНЫЙ ИНСТИТУТ "СТРОЙЭКСПЕРТ-ЮГ"</t>
  </si>
  <si>
    <t>ОБЩЕСТВО С ОГРАНИЧЕННОЙ ОТВЕТСТВЕННОСТЬЮ "ПРОЕКТНЫЙ ИНСТИТУТ "СТРОЙЭКСПЕРТ-ЮГ"</t>
  </si>
  <si>
    <t>9310014521</t>
  </si>
  <si>
    <t>1249300011278</t>
  </si>
  <si>
    <t>287549, ДОНЕЦКАЯ НАРОДНАЯ РЕСПУБЛИКА, МАРИУПОЛЬ, Г. МАРИУПОЛЬ, Г. МАРИУПОЛЬ, УЛ. ШЕВЧЕНКО, Д. 37, ОФИС 1</t>
  </si>
  <si>
    <t>ООО "ПРОСТОРСТРОЙ"</t>
  </si>
  <si>
    <t>ОБЩЕСТВО С ОГРАНИЧЕННОЙ ОТВЕТСТВЕННОСТЬЮ "ПРОСТОРСТРОЙ"</t>
  </si>
  <si>
    <t>9310014923</t>
  </si>
  <si>
    <t>1249300012280</t>
  </si>
  <si>
    <t>ДОНЕЦКАЯ НАРОДНАЯ РЕСПУБЛИКА, МАРИУПОЛЬ, Г. МАРИУПОЛЬ, Г. МАРИУПОЛЬ, ПЕР. КИШИНЁВСКИЙ, Д. 15</t>
  </si>
  <si>
    <t>ООО "РОМАШКА"</t>
  </si>
  <si>
    <t>ОБЩЕСТВО С ОГРАНИЧЕННОЙ ОТВЕТСТВЕННОСТЬЮ "РОМАШКА"</t>
  </si>
  <si>
    <t>9310014948</t>
  </si>
  <si>
    <t>1249300012301</t>
  </si>
  <si>
    <t>287541, ДОНЕЦКАЯ НАРОДНАЯ РЕСПУБЛИКА, МАРИУПОЛЬ, Г. МАРИУПОЛЬ, Г. МАРИУПОЛЬ, ПР-КТ ТУЛЬСКИЙ, Д. 43/6, ПОМЕЩ. 90</t>
  </si>
  <si>
    <t>ООО "СИМ"</t>
  </si>
  <si>
    <t>ОБЩЕСТВО С ОГРАНИЧЕННОЙ ОТВЕТСТВЕННОСТЬЮ "СИМ"</t>
  </si>
  <si>
    <t>9310014881</t>
  </si>
  <si>
    <t>1249300012170</t>
  </si>
  <si>
    <t>ООО "СОФИСТ"</t>
  </si>
  <si>
    <t>ОБЩЕСТВО С ОГРАНИЧЕННОЙ ОТВЕТСТВЕННОСТЬЮ "СОФИСТ"</t>
  </si>
  <si>
    <t>9310014874</t>
  </si>
  <si>
    <t>1249300012158</t>
  </si>
  <si>
    <t>ДОНЕЦКАЯ НАРОДНАЯ РЕСПУБЛИКА, МАРИУПОЛЬ, Г. МАРИУПОЛЬ, Г. МАРИУПОЛЬ, КВ-Л 24, Д. 1, КВ. 9</t>
  </si>
  <si>
    <t>ООО "СОЮЗ"</t>
  </si>
  <si>
    <t>ОБЩЕСТВО С ОГРАНИЧЕННОЙ ОТВЕТСТВЕННОСТЬЮ "СОЮЗ"</t>
  </si>
  <si>
    <t>9310015003</t>
  </si>
  <si>
    <t>1249300012642</t>
  </si>
  <si>
    <t>287537, ДОНЕЦКАЯ НАРОДНАЯ РЕСПУБЛИКА, МАРИУПОЛЬ, Г. МАРИУПОЛЬ, Г. МАРИУПОЛЬ, УЛ. ЗЕЛИНСКОГО, Д. 87, КОМ. 15</t>
  </si>
  <si>
    <t>ООО "СЗ "ВЕРТИКАЛЬ НОВОРОССИЯ-1"</t>
  </si>
  <si>
    <t>ОБЩЕСТВО С ОГРАНИЧЕННОЙ ОТВЕТСТВЕННОСТЬЮ "СПЕЦИАЛИЗИРОВАННЫЙ ЗАСТРОЙЩИК "ВЕРТИКАЛЬ НОВОРОССИЯ-1"</t>
  </si>
  <si>
    <t>9310014722</t>
  </si>
  <si>
    <t>1249300011795</t>
  </si>
  <si>
    <t>287541, ДОНЕЦКАЯ НАРОДНАЯ РЕСПУБЛИКА, МАРИУПОЛЬ, Г. МАРИУПОЛЬ, Г. МАРИУПОЛЬ, ПР-КТ ПОБЕДЫ, Д. 51/32, ПОМЕЩ. 58</t>
  </si>
  <si>
    <t>ООО "СТРОЙСНАБ"</t>
  </si>
  <si>
    <t>ОБЩЕСТВО С ОГРАНИЧЕННОЙ ОТВЕТСТВЕННОСТЬЮ "СТРОЙСНАБ"</t>
  </si>
  <si>
    <t>9310014627</t>
  </si>
  <si>
    <t>1249300011542</t>
  </si>
  <si>
    <t>ООО "ТИХОНОВА"</t>
  </si>
  <si>
    <t>ОБЩЕСТВО С ОГРАНИЧЕННОЙ ОТВЕТСТВЕННОСТЬЮ "ТИХОНОВА"</t>
  </si>
  <si>
    <t>9310014987</t>
  </si>
  <si>
    <t>1249300012554</t>
  </si>
  <si>
    <t>287501, ДОНЕЦКАЯ НАРОДНАЯ РЕСПУБЛИКА, МАРИУПОЛЬ, Г. МАРИУПОЛЬ, Г. МАРИУПОЛЬ, УЛ. ВАРГАНОВА, Д. 3</t>
  </si>
  <si>
    <t>ООО "ТОРГОВЫЙ ДОМ "МИР"</t>
  </si>
  <si>
    <t>ОБЩЕСТВО С ОГРАНИЧЕННОЙ ОТВЕТСТВЕННОСТЬЮ "ТОРГОВЫЙ ДОМ "МИР"</t>
  </si>
  <si>
    <t>9310015028</t>
  </si>
  <si>
    <t>1249300012720</t>
  </si>
  <si>
    <t>ДОНЕЦКАЯ НАРОДНАЯ РЕСПУБЛИКА, МАРИУПОЛЬ, Г. МАРИУПОЛЬ, Г. МАРИУПОЛЬ, ПР-КТ ЛЕНИНА, Д. 23, ПОМЕЩ. 12/2</t>
  </si>
  <si>
    <t>ООО "ТРИАДА"</t>
  </si>
  <si>
    <t>ОБЩЕСТВО С ОГРАНИЧЕННОЙ ОТВЕТСТВЕННОСТЬЮ "ТРИАДА"</t>
  </si>
  <si>
    <t>9310014602</t>
  </si>
  <si>
    <t>1249300011509</t>
  </si>
  <si>
    <t>ДОНЕЦКАЯ НАРОДНАЯ РЕСПУБЛИКА, МАРИУПОЛЬ, Г. МАРИУПОЛЬ, Г. МАРИУПОЛЬ, Б-Р 50 ЛЕТ ОКТЯБРЯ, Д. 9/28, ПОМЕЩ. 2</t>
  </si>
  <si>
    <t>ООО "ТРИО"</t>
  </si>
  <si>
    <t>ОБЩЕСТВО С ОГРАНИЧЕННОЙ ОТВЕТСТВЕННОСТЬЮ "ТРИО"</t>
  </si>
  <si>
    <t>9310014899</t>
  </si>
  <si>
    <t>1249300012191</t>
  </si>
  <si>
    <t>287510, ДОНЕЦКАЯ НАРОДНАЯ РЕСПУБЛИКА, МАРИУПОЛЬ, Г. МАРИУПОЛЬ, Г. МАРИУПОЛЬ, ПР-КТ НАХИМОВА, Д. 108, ПОМЕЩ. 65/1</t>
  </si>
  <si>
    <t>ООО "ФЕОНА"</t>
  </si>
  <si>
    <t>ОБЩЕСТВО С ОГРАНИЧЕННОЙ ОТВЕТСТВЕННОСТЬЮ "ФЕОНА"</t>
  </si>
  <si>
    <t>9310014850</t>
  </si>
  <si>
    <t>1249300012081</t>
  </si>
  <si>
    <t>ООО "ФОРТУНА ЗАВ"</t>
  </si>
  <si>
    <t>ОБЩЕСТВО С ОГРАНИЧЕННОЙ ОТВЕТСТВЕННОСТЬЮ "ФОРТУНА ЗАВ"</t>
  </si>
  <si>
    <t>9310014842</t>
  </si>
  <si>
    <t>1249300012059</t>
  </si>
  <si>
    <t>ООО "ФРАНКЛИН"</t>
  </si>
  <si>
    <t>ОБЩЕСТВО С ОГРАНИЧЕННОЙ ОТВЕТСТВЕННОСТЬЮ "ФРАНКЛИН"</t>
  </si>
  <si>
    <t>9310014659</t>
  </si>
  <si>
    <t>1249300011641</t>
  </si>
  <si>
    <t>ДОНЕЦКАЯ НАРОДНАЯ РЕСПУБЛИКА, МАРИУПОЛЬ, Г. МАРИУПОЛЬ, Г. МАРИУПОЛЬ, УЛ. ВОИНОВ-ОСВОБОДИТЕЛЕЙ, Д. 154</t>
  </si>
  <si>
    <t>ООО "ФУД-МОРЕ"</t>
  </si>
  <si>
    <t>ОБЩЕСТВО С ОГРАНИЧЕННОЙ ОТВЕТСТВЕННОСТЬЮ "ФУД-МОРЕ"</t>
  </si>
  <si>
    <t>9310014715</t>
  </si>
  <si>
    <t>1249300011730</t>
  </si>
  <si>
    <t>ДОНЕЦКАЯ НАРОДНАЯ РЕСПУБЛИКА, МАРИУПОЛЬ, Г. МАРИУПОЛЬ, Г. МАРИУПОЛЬ, УЛ. БОЛЬШАЯ МОРСКАЯ, ЗД. 42, КОМ. 1</t>
  </si>
  <si>
    <t>ООО "ЭСПАНЬОЛА"</t>
  </si>
  <si>
    <t>ОБЩЕСТВО С ОГРАНИЧЕННОЙ ОТВЕТСТВЕННОСТЬЮ "ЭСПАНЬОЛА"</t>
  </si>
  <si>
    <t>9310014955</t>
  </si>
  <si>
    <t>1249300012323</t>
  </si>
  <si>
    <t>692413, ДОНЕЦКАЯ НАРОДНАЯ РЕСПУБЛИКА, МАРИУПОЛЬ, Г. МАРИУПОЛЬ, Г. МАРИУПОЛЬ, УЛ. КУЗНЕЧНАЯ, Д. 7</t>
  </si>
  <si>
    <t>СНТ "УРОЖАЙ"</t>
  </si>
  <si>
    <t>САДОВОДЧЕСКОЕ НЕКОММЕРЧЕСКОЕ ТОВАРИЩЕСТВО "УРОЖАЙ"</t>
  </si>
  <si>
    <t>9310014708</t>
  </si>
  <si>
    <t>1249300011784</t>
  </si>
  <si>
    <t>ДОНЕЦКАЯ НАРОДНАЯ РЕСПУБЛИКА, МАРИУПОЛЬ, Г. МАРИУПОЛЬ, Г. МАРИУПОЛЬ, УЛ. НОВОЗЕЛЕНАЯ, Д. 65</t>
  </si>
  <si>
    <t>ТСЖ "НАХИМОВА 122"</t>
  </si>
  <si>
    <t>ТОВАРИЩЕСТВО СОБСТВЕННИКОВ ЖИЛЬЯ "НАХИМОВА 122"</t>
  </si>
  <si>
    <t>9310015370</t>
  </si>
  <si>
    <t>1249300013852</t>
  </si>
  <si>
    <t>ДОНЕЦКАЯ НАРОДНАЯ РЕСПУБЛИКА, МАРИУПОЛЬ, Г. МАРИУПОЛЬ, Г. МАРИУПОЛЬ, ПР-КТ НАХИМОВА, Д. 122</t>
  </si>
  <si>
    <t>ТСЖ "НАХИМОВА 82"</t>
  </si>
  <si>
    <t>ТОВАРИЩЕСТВО СОБСТВЕННИКОВ ЖИЛЬЯ "НАХИМОВА 82"</t>
  </si>
  <si>
    <t>9310015275</t>
  </si>
  <si>
    <t>1249300013533</t>
  </si>
  <si>
    <t>287510, ДОНЕЦКАЯ НАРОДНАЯ РЕСПУБЛИКА, МАРИУПОЛЬ, Г. МАРИУПОЛЬ, Г. МАРИУПОЛЬ, ПР-КТ НАХИМОВА, Д. 82, КВ. 15</t>
  </si>
  <si>
    <t>ТСЖ "ТРОЯНДА-М"</t>
  </si>
  <si>
    <t>ТОВАРИЩЕСТВО СОБСТВЕННИКОВ ЖИЛЬЯ "ТРОЯНДА-М"</t>
  </si>
  <si>
    <t>9310015564</t>
  </si>
  <si>
    <t>1249300014347</t>
  </si>
  <si>
    <t>287524, ДОНЕЦКАЯ НАРОДНАЯ РЕСПУБЛИКА, МАРИУПОЛЬ, Г. МАРИУПОЛЬ, Г. МАРИУПОЛЬ, УЛ. ГОНДЫ, Д. 40, КВ. 65</t>
  </si>
  <si>
    <t>ТСН "АВТОЛЮБИТЕЛЬ-15"</t>
  </si>
  <si>
    <t>ТОВАРИЩЕСТВО СОБСТВЕННИКОВ НЕДВИЖИМОСТИ "АВТОЛЮБИТЕЛЬ-15"</t>
  </si>
  <si>
    <t>9310015349</t>
  </si>
  <si>
    <t>1249300013797</t>
  </si>
  <si>
    <t>287549, ДОНЕЦКАЯ НАРОДНАЯ РЕСПУБЛИКА, МАРИУПОЛЬ, Г. МАРИУПОЛЬ, Г. МАРИУПОЛЬ, ПР-КТ МЕТАЛЛУРГОВ, Д. 131А, КВ. 40</t>
  </si>
  <si>
    <t>ТСН "БАМПЕР"</t>
  </si>
  <si>
    <t>ТОВАРИЩЕСТВО СОБСТВЕННИКОВ НЕДВИЖИМОСТИ "БАМПЕР"</t>
  </si>
  <si>
    <t>9310015540</t>
  </si>
  <si>
    <t>1249300014237</t>
  </si>
  <si>
    <t>ДОНЕЦКАЯ НАРОДНАЯ РЕСПУБЛИКА, МАРИУПОЛЬ, Г. МАРИУПОЛЬ, Г. МАРИУПОЛЬ, УЛ. ГРЕЧЕСКАЯ, Д. 135</t>
  </si>
  <si>
    <t>АТСН "ВЗЛЁТ"</t>
  </si>
  <si>
    <t>АВТОГАРАЖНОЕ ТОВАРИЩЕСТВО СОБСТВЕННИКОВ НЕДВИЖИМОСТИ "ВЗЛЁТ"</t>
  </si>
  <si>
    <t>9310015148</t>
  </si>
  <si>
    <t>1249300013126</t>
  </si>
  <si>
    <t>ДОНЕЦКАЯ НАРОДНАЯ РЕСПУБЛИКА, МАРИУПОЛЬ, Г. МАРИУПОЛЬ, Г. МАРИУПОЛЬ, УЛ. ЗЕЛИНСКОГО, Д. 92, КВ. 93</t>
  </si>
  <si>
    <t>ЖСК "ПРОГРЕСС"</t>
  </si>
  <si>
    <t>ЖИЛИЩНО-СТРОИТЕЛЬНЫЙ КООПЕРАТИВ "ПРОГРЕСС"</t>
  </si>
  <si>
    <t>9310015476</t>
  </si>
  <si>
    <t>1249300014083</t>
  </si>
  <si>
    <t>287524, ДОНЕЦКАЯ НАРОДНАЯ РЕСПУБЛИКА, МАРИУПОЛЬ, Г. МАРИУПОЛЬ, Г. МАРИУПОЛЬ, УЛ. ГОНДЫ, Д. 40</t>
  </si>
  <si>
    <t>ЖСК "ЧЕРЕМШИНА"</t>
  </si>
  <si>
    <t>ЖИЛИЩНО-СТРОИТЕЛЬНЫЙ КООПЕРАТИВ "ЧЕРЕМШИНА"</t>
  </si>
  <si>
    <t>9310015469</t>
  </si>
  <si>
    <t>1249300014072</t>
  </si>
  <si>
    <t>287524, ДОНЕЦКАЯ НАРОДНАЯ РЕСПУБЛИКА, МАРИУПОЛЬ, Г. МАРИУПОЛЬ, Г. МАРИУПОЛЬ, УЛ. СЕЧЕНОВА, Д. 63А, ПОМЕЩ. 89</t>
  </si>
  <si>
    <t>МОО "БИЗНЕС ЦЕНТР"</t>
  </si>
  <si>
    <t>МЕСТНАЯ ОБЩЕСТВЕННАЯ ОРГАНИЗАЦИЯ "БИЗНЕС ЦЕНТР"</t>
  </si>
  <si>
    <t>9310015451</t>
  </si>
  <si>
    <t>1249300014040</t>
  </si>
  <si>
    <t>МЕСТНАЯ РЕЛИГИОЗНАЯ ОРГАНИЗАЦИЯ ЦЕРКОВЬ ХРИСТИАН ВЕРЫ ЕВАНГЕЛЬСКОЙ ПЯТИДЕСЯТНИКОВ "ДОМ МОЛИТВЫ" ГОРОДА МАРИУПОЛЯ</t>
  </si>
  <si>
    <t>9310015243</t>
  </si>
  <si>
    <t>1249300013423</t>
  </si>
  <si>
    <t>ДОНЕЦКАЯ НАРОДНАЯ РЕСПУБЛИКА, МАРИУПОЛЬ, Г. МАРИУПОЛЬ, Г. МАРИУПОЛЬ, УЛ. ГРЕЧЕСКАЯ, Д. 232</t>
  </si>
  <si>
    <t>ООО "АВК"</t>
  </si>
  <si>
    <t>ОБЩЕСТВО С ОГРАНИЧЕННОЙ ОТВЕТСТВЕННОСТЬЮ "АВК"</t>
  </si>
  <si>
    <t>9310014962</t>
  </si>
  <si>
    <t>1249300012444</t>
  </si>
  <si>
    <t>ДОНЕЦКАЯ НАРОДНАЯ РЕСПУБЛИКА, МАРИУПОЛЬ, Г. МАРИУПОЛЬ, Г. МАРИУПОЛЬ, ПР-КТ ЛУНИНА, Д. 42</t>
  </si>
  <si>
    <t>ООО "АВТОКОМПЛЕКТ"</t>
  </si>
  <si>
    <t>ОБЩЕСТВО С ОГРАНИЧЕННОЙ ОТВЕТСТВЕННОСТЬЮ "АВТОКОМПЛЕКТ"</t>
  </si>
  <si>
    <t>9310015525</t>
  </si>
  <si>
    <t>1249300014182</t>
  </si>
  <si>
    <t>ДОНЕЦКАЯ НАРОДНАЯ РЕСПУБЛИКА, МАРИУПОЛЬ, Г. МАРИУПОЛЬ, Г. МАРИУПОЛЬ, ПР-КТ МЕТАЛЛУРГОВ, Д. 92А, ПОМЕЩ. 5</t>
  </si>
  <si>
    <t>ООО "АЗОВ-СИМЕН"</t>
  </si>
  <si>
    <t>ОБЩЕСТВО С ОГРАНИЧЕННОЙ ОТВЕТСТВЕННОСТЬЮ "АЗОВ-СИМЕН"</t>
  </si>
  <si>
    <t>9310015155</t>
  </si>
  <si>
    <t>1249300013137</t>
  </si>
  <si>
    <t>ДОНЕЦКАЯ НАРОДНАЯ РЕСПУБЛИКА, МАРИУПОЛЬ, Г. МАРИУПОЛЬ, Г. МАРИУПОЛЬ, УЛ. ПУЛКОВСКАЯ, Д. 5</t>
  </si>
  <si>
    <t>ООО "АКЦЕНТ"</t>
  </si>
  <si>
    <t>ОБЩЕСТВО С ОГРАНИЧЕННОЙ ОТВЕТСТВЕННОСТЬЮ "АКЦЕНТ"</t>
  </si>
  <si>
    <t>9310015194</t>
  </si>
  <si>
    <t>1249300013280</t>
  </si>
  <si>
    <t>287549, ДОНЕЦКАЯ НАРОДНАЯ РЕСПУБЛИКА, МАРИУПОЛЬ, Г. МАРИУПОЛЬ, Г. МАРИУПОЛЬ, Б-Р ШЕВЧЕНКО, Д. 293</t>
  </si>
  <si>
    <t>ООО "АРХИТЕКТОНИКА"</t>
  </si>
  <si>
    <t>ОБЩЕСТВО С ОГРАНИЧЕННОЙ ОТВЕТСТВЕННОСТЬЮ "АРХИТЕКТОНИКА"</t>
  </si>
  <si>
    <t>9310015444</t>
  </si>
  <si>
    <t>1249300014017</t>
  </si>
  <si>
    <t>287501, ДОНЕЦКАЯ НАРОДНАЯ РЕСПУБЛИКА, МАРИУПОЛЬ, Г. МАРИУПОЛЬ, Г. МАРИУПОЛЬ, ПР-КТ ЛЕНИНА, Д. 63/2, ПОМЕЩ. 1</t>
  </si>
  <si>
    <t>ООО "ГАРАНТ-СТРОЙ"</t>
  </si>
  <si>
    <t>ОБЩЕСТВО С ОГРАНИЧЕННОЙ ОТВЕТСТВЕННОСТЬЮ "ГАРАНТ-СТРОЙ"</t>
  </si>
  <si>
    <t>9310015229</t>
  </si>
  <si>
    <t>1249300013346</t>
  </si>
  <si>
    <t>ООО "ГЕОМЕТРИКА"</t>
  </si>
  <si>
    <t>ОБЩЕСТВО С ОГРАНИЧЕННОЙ ОТВЕТСТВЕННОСТЬЮ "ГЕОМЕТРИКА"</t>
  </si>
  <si>
    <t>9310015412</t>
  </si>
  <si>
    <t>1249300013929</t>
  </si>
  <si>
    <t>ДОНЕЦКАЯ НАРОДНАЯ РЕСПУБЛИКА, МАРИУПОЛЬ, Г. МАРИУПОЛЬ, Г. МАРИУПОЛЬ, ПР-КТ НАХИМОВА, Д. 158, ПОМЕЩ. 69</t>
  </si>
  <si>
    <t>ООО "ИНКОМ-ЦЕНТР"</t>
  </si>
  <si>
    <t>ОБЩЕСТВО С ОГРАНИЧЕННОЙ ОТВЕТСТВЕННОСТЬЮ "ИНКОМ-ЦЕНТР"</t>
  </si>
  <si>
    <t>9310015282</t>
  </si>
  <si>
    <t>1249300013566</t>
  </si>
  <si>
    <t>ООО "КИФА"</t>
  </si>
  <si>
    <t>ОБЩЕСТВО С ОГРАНИЧЕННОЙ ОТВЕТСТВЕННОСТЬЮ "КИФА"</t>
  </si>
  <si>
    <t>9310015300</t>
  </si>
  <si>
    <t>1249300013687</t>
  </si>
  <si>
    <t>ООО "КРАСНОГОР-АГРО"</t>
  </si>
  <si>
    <t>ОБЩЕСТВО С ОГРАНИЧЕННОЙ ОТВЕТСТВЕННОСТЬЮ "КРАСНОГОР-АГРО"</t>
  </si>
  <si>
    <t>9310015483</t>
  </si>
  <si>
    <t>1249300014094</t>
  </si>
  <si>
    <t>ДОНЕЦКАЯ НАРОДНАЯ РЕСПУБЛИКА, МАРИУПОЛЬ, Г. МАРИУПОЛЬ, Г. МАРИУПОЛЬ, УЛ. ЗАОЗЁРНАЯ, Д. 64Б</t>
  </si>
  <si>
    <t>ООО "ЛУКАС ЛОГИСТИКА"</t>
  </si>
  <si>
    <t>ОБЩЕСТВО С ОГРАНИЧЕННОЙ ОТВЕТСТВЕННОСТЬЮ "ЛУКАС ЛОГИСТИКА"</t>
  </si>
  <si>
    <t>9310015236</t>
  </si>
  <si>
    <t>1249300013357</t>
  </si>
  <si>
    <t>287552, ДОНЕЦКАЯ НАРОДНАЯ РЕСПУБЛИКА, МАРИУПОЛЬ, Г. МАРИУПОЛЬ, Г. МАРИУПОЛЬ, УЛ. КУРЧАТОВА, Д. 63/57, КВ. 27</t>
  </si>
  <si>
    <t>ООО "МЕАН"</t>
  </si>
  <si>
    <t>ОБЩЕСТВО С ОГРАНИЧЕННОЙ ОТВЕТСТВЕННОСТЬЮ "МЕАН"</t>
  </si>
  <si>
    <t>9310015035</t>
  </si>
  <si>
    <t>1249300012730</t>
  </si>
  <si>
    <t>ДОНЕЦКАЯ НАРОДНАЯ РЕСПУБЛИКА, МАРИУПОЛЬ, Г. МАРИУПОЛЬ, Г. МАРИУПОЛЬ, УЛ. АПАТОВА, Д. 140А</t>
  </si>
  <si>
    <t>ООО "МЕТСАЙЗ"</t>
  </si>
  <si>
    <t>ОБЩЕСТВО С ОГРАНИЧЕННОЙ ОТВЕТСТВЕННОСТЬЮ "МЕТСАЙЗ"</t>
  </si>
  <si>
    <t>9310015363</t>
  </si>
  <si>
    <t>1249300013819</t>
  </si>
  <si>
    <t>287537, ДОНЕЦКАЯ НАРОДНАЯ РЕСПУБЛИКА, МАРИУПОЛЬ, Г. МАРИУПОЛЬ, Г. МАРИУПОЛЬ, ПР-КТ СТРОИТЕЛЕЙ, Д. 100А, КВ. 21</t>
  </si>
  <si>
    <t>ООО "МИРВЕЙ"</t>
  </si>
  <si>
    <t>ОБЩЕСТВО С ОГРАНИЧЕННОЙ ОТВЕТСТВЕННОСТЬЮ "МИРВЕЙ"</t>
  </si>
  <si>
    <t>9310015331</t>
  </si>
  <si>
    <t>1249300013764</t>
  </si>
  <si>
    <t>ООО "МСР"</t>
  </si>
  <si>
    <t>ОБЩЕСТВО С ОГРАНИЧЕННОЙ ОТВЕТСТВЕННОСТЬЮ "МОБИЛИЗОВАННЫЕ СТРОИТЕЛИ РОССИИ"</t>
  </si>
  <si>
    <t>9310015250</t>
  </si>
  <si>
    <t>1249300013489</t>
  </si>
  <si>
    <t>ДОНЕЦКАЯ НАРОДНАЯ РЕСПУБЛИКА, МАРИУПОЛЬ, Г. МАРИУПОЛЬ, Г. МАРИУПОЛЬ, УЛ. ТИТОВА, Д. 131</t>
  </si>
  <si>
    <t>ООО "НЕРУДГРУПП"</t>
  </si>
  <si>
    <t>ОБЩЕСТВО С ОГРАНИЧЕННОЙ ОТВЕТСТВЕННОСТЬЮ "НЕРУДГРУПП"</t>
  </si>
  <si>
    <t>9310015490</t>
  </si>
  <si>
    <t>1249300014116</t>
  </si>
  <si>
    <t>ООО "НИНА"</t>
  </si>
  <si>
    <t>ОБЩЕСТВО С ОГРАНИЧЕННОЙ ОТВЕТСТВЕННОСТЬЮ "НИНА"</t>
  </si>
  <si>
    <t>9310015204</t>
  </si>
  <si>
    <t>1249300013313</t>
  </si>
  <si>
    <t>ДОНЕЦКАЯ НАРОДНАЯ РЕСПУБЛИКА, МАРИУПОЛЬ, Г. МАРИУПОЛЬ, Г. МАРИУПОЛЬ, ПР-КТ ЛУНИНА, Д. 11В</t>
  </si>
  <si>
    <t>ООО "НОВЫЕ ТЕХНОЛОГИИ"</t>
  </si>
  <si>
    <t>ОБЩЕСТВО С ОГРАНИЧЕННОЙ ОТВЕТСТВЕННОСТЬЮ "НОВЫЕ ТЕХНОЛОГИИ"</t>
  </si>
  <si>
    <t>9310015356</t>
  </si>
  <si>
    <t>1249300013808</t>
  </si>
  <si>
    <t>ДОНЕЦКАЯ НАРОДНАЯ РЕСПУБЛИКА, МАРИУПОЛЬ, Г. МАРИУПОЛЬ, Г. МАРИУПОЛЬ, УЛ. ГРОМОВОЙ, Д. 61</t>
  </si>
  <si>
    <t>ООО "ПКФ "ЮЖТЕХПРОМ"</t>
  </si>
  <si>
    <t>ОБЩЕСТВО С ОГРАНИЧЕННОЙ ОТВЕТСТВЕННОСТЬЮ "ПРОИЗВОДСТВЕННО-КОММЕРЧЕСКАЯ ФИРМА "ЮЖТЕХПРОМ"</t>
  </si>
  <si>
    <t>9310015290</t>
  </si>
  <si>
    <t>1249300013600</t>
  </si>
  <si>
    <t>ООО "ПРОФИКОНСАЛТ"</t>
  </si>
  <si>
    <t>ОБЩЕСТВО С ОГРАНИЧЕННОЙ ОТВЕТСТВЕННОСТЬЮ "ПРОФИКОНСАЛТ"</t>
  </si>
  <si>
    <t>9310015405</t>
  </si>
  <si>
    <t>1249300013918</t>
  </si>
  <si>
    <t>ООО "РЕСУРС-КАПИТАЛ ДНР"</t>
  </si>
  <si>
    <t>ОБЩЕСТВО С ОГРАНИЧЕННОЙ ОТВЕТСТВЕННОСТЬЮ "РЕСУРС-КАПИТАЛ ДНР"</t>
  </si>
  <si>
    <t>9310015317</t>
  </si>
  <si>
    <t>1249300013698</t>
  </si>
  <si>
    <t>ООО "СПЕЦИАЛЬНЫЕ СТРОИТЕЛЬНЫЕ ТЕХНОЛОГИИ"</t>
  </si>
  <si>
    <t>ОБЩЕСТВО С ОГРАНИЧЕННОЙ ОТВЕТСТВЕННОСТЬЮ "СПЕЦИАЛЬНЫЕ СТРОИТЕЛЬНЫЕ ТЕХНОЛОГИИ"</t>
  </si>
  <si>
    <t>9310015388</t>
  </si>
  <si>
    <t>1249300013863</t>
  </si>
  <si>
    <t>ДОНЕЦКАЯ НАРОДНАЯ РЕСПУБЛИКА, МАРИУПОЛЬ, Г. МАРИУПОЛЬ, Г. МАРИУПОЛЬ, ПР-КТ МЕТАЛЛУРГОВ, Д. 233</t>
  </si>
  <si>
    <t>ООО "СПЕЦСТРОЙСЕРВИС"</t>
  </si>
  <si>
    <t>ОБЩЕСТВО С ОГРАНИЧЕННОЙ ОТВЕТСТВЕННОСТЬЮ "СПЕЦСТРОЙСЕРВИС"</t>
  </si>
  <si>
    <t>9310015130</t>
  </si>
  <si>
    <t>1249300013115</t>
  </si>
  <si>
    <t>287524, ДОНЕЦКАЯ НАРОДНАЯ РЕСПУБЛИКА, МАРИУПОЛЬ, Г. МАРИУПОЛЬ, Г. МАРИУПОЛЬ, УЛ. СЕЧЕНОВА, Д. 63А, ПОМЕЩ. 119</t>
  </si>
  <si>
    <t>ООО "СТРОЙ-М"</t>
  </si>
  <si>
    <t>ОБЩЕСТВО С ОГРАНИЧЕННОЙ ОТВЕТСТВЕННОСТЬЮ "СТРОЙ-М"</t>
  </si>
  <si>
    <t>9310015162</t>
  </si>
  <si>
    <t>1249300013203</t>
  </si>
  <si>
    <t>ДОНЕЦКАЯ НАРОДНАЯ РЕСПУБЛИКА, МАРИУПОЛЬ, Г. МАРИУПОЛЬ, Г. МАРИУПОЛЬ, УЛ. ЭНГЕЛЬСА, Д. 26/2, ОФИС 13</t>
  </si>
  <si>
    <t>ООО "ТЕМП - 90"</t>
  </si>
  <si>
    <t>ОБЩЕСТВО С ОГРАНИЧЕННОЙ ОТВЕТСТВЕННОСТЬЮ "ТЕМП - 90"</t>
  </si>
  <si>
    <t>9310015557</t>
  </si>
  <si>
    <t>1249300014303</t>
  </si>
  <si>
    <t>287501, ДОНЕЦКАЯ НАРОДНАЯ РЕСПУБЛИКА, МАРИУПОЛЬ, Г. МАРИУПОЛЬ, Г. МАРИУПОЛЬ, УЛ. ЭНГЕЛЬСА, Д. 56, ПОМЕЩ. 8</t>
  </si>
  <si>
    <t>ООО "ТОРГСИН"</t>
  </si>
  <si>
    <t>ОБЩЕСТВО С ОГРАНИЧЕННОЙ ОТВЕТСТВЕННОСТЬЮ "ТОРГСИН"</t>
  </si>
  <si>
    <t>9310015116</t>
  </si>
  <si>
    <t>1249300013050</t>
  </si>
  <si>
    <t>287524, ДОНЕЦКАЯ НАРОДНАЯ РЕСПУБЛИКА, МАРИУПОЛЬ, Г. МАРИУПОЛЬ, Г. МАРИУПОЛЬ, ПР-КТ ИЛЬИЧА, Д. 135, ПОМЕЩ. 118</t>
  </si>
  <si>
    <t>ООО "ФОРТУНА-М"</t>
  </si>
  <si>
    <t>ОБЩЕСТВО С ОГРАНИЧЕННОЙ ОТВЕТСТВЕННОСТЬЮ "ФОРТУНА-М"</t>
  </si>
  <si>
    <t>9310015268</t>
  </si>
  <si>
    <t>1249300013522</t>
  </si>
  <si>
    <t>ООО "ШЕЛТЕР-ФУД"</t>
  </si>
  <si>
    <t>ОБЩЕСТВО С ОГРАНИЧЕННОЙ ОТВЕТСТВЕННОСТЬЮ "ШЕЛТЕР-ФУД"</t>
  </si>
  <si>
    <t>9310015500</t>
  </si>
  <si>
    <t>1249300014138</t>
  </si>
  <si>
    <t>287501, ДОНЕЦКАЯ НАРОДНАЯ РЕСПУБЛИКА, МАРИУПОЛЬ, Г. МАРИУПОЛЬ, Г. МАРИУПОЛЬ, ПР-КТ МЕТАЛЛУРГОВ, Д. 56, ПОМЕЩ. 49 А</t>
  </si>
  <si>
    <t>ООО "ЭЛИТ-СТРОЙ"</t>
  </si>
  <si>
    <t>ОБЩЕСТВО С ОГРАНИЧЕННОЙ ОТВЕТСТВЕННОСТЬЮ "ЭЛИТ-СТРОЙ"</t>
  </si>
  <si>
    <t>9310015187</t>
  </si>
  <si>
    <t>1249300013269</t>
  </si>
  <si>
    <t>РФСОО "ФЕДЕРАЦИЯ АВИАМОДЕЛЬНОГО СПОРТА "АСКЕ" ДНР"</t>
  </si>
  <si>
    <t>РЕГИОНАЛЬНАЯ ФИЗКУЛЬТУРНО-СПОРТИВНАЯ ОБЩЕСТВЕННАЯ ОРГАНИЗАЦИЯ "ФЕДЕРАЦИЯ АВИАМОДЕЛЬНОГО СПОРТА "АСКЕ" ДОНЕЦКОЙ НАРОДНОЙ РЕСПУБЛИКИ"</t>
  </si>
  <si>
    <t>9310015170</t>
  </si>
  <si>
    <t>1249300013258</t>
  </si>
  <si>
    <t>ДОНЕЦКАЯ НАРОДНАЯ РЕСПУБЛИКА, МАРИУПОЛЬ, Г. МАРИУПОЛЬ, Г. МАРИУПОЛЬ, УЛ. ШАУМЯНА, Д. 16А</t>
  </si>
  <si>
    <t>ТСН "ПИРС"</t>
  </si>
  <si>
    <t>ТОВАРИЩЕСТВО СОБСТВЕННИКОВ НЕДВИЖИМОСТИ "ПИРС"</t>
  </si>
  <si>
    <t>9310015395</t>
  </si>
  <si>
    <t>1249300013874</t>
  </si>
  <si>
    <t>ДОНЕЦКАЯ НАРОДНАЯ РЕСПУБЛИКА, МАРИУПОЛЬ, Г. МАРИУПОЛЬ, Г. МАРИУПОЛЬ, УЛ. ТУРГЕНЕВА, Д. 6</t>
  </si>
  <si>
    <t>ТСН "ПОКРЫШКИНА-11"</t>
  </si>
  <si>
    <t>ТОВАРИЩЕСТВО СОБСТВЕННИКОВ НЕДВИЖИМОСТИ "ПОКРЫШКИНА-11"</t>
  </si>
  <si>
    <t>9310015596</t>
  </si>
  <si>
    <t>1249300014424</t>
  </si>
  <si>
    <t>287513, ДОНЕЦКАЯ НАРОДНАЯ РЕСПУБЛИКА, МАРИУПОЛЬ, Г. МАРИУПОЛЬ, Г. МАРИУПОЛЬ, УЛ. ПОКРЫШКИНА, Д. 11</t>
  </si>
  <si>
    <t>ТСН "ПОКРЫШКИНА-13"</t>
  </si>
  <si>
    <t>ТОВАРИЩЕСТВО СОБСТВЕННИКОВ НЕДВИЖИМОСТИ "ПОКРЫШКИНА-13"</t>
  </si>
  <si>
    <t>9310015324</t>
  </si>
  <si>
    <t>1249300013731</t>
  </si>
  <si>
    <t>ТСН "ПОКРЫШКИНА-9"</t>
  </si>
  <si>
    <t>ТОВАРИЩЕСТВО СОБСТВЕННИКОВ НЕДВИЖИМОСТИ "ПОКРЫШКИНА-9"</t>
  </si>
  <si>
    <t>9310015589</t>
  </si>
  <si>
    <t>1249300014413</t>
  </si>
  <si>
    <t>ООО "АЛЬФА"</t>
  </si>
  <si>
    <t>ОБЩЕСТВО С ОГРАНИЧЕННОЙ ОТВЕТСТВЕННОСТЬЮ "АЛЬФА"</t>
  </si>
  <si>
    <t>9310015733</t>
  </si>
  <si>
    <t>1249300014985</t>
  </si>
  <si>
    <t>ООО "АЛЬЯНС-Л"</t>
  </si>
  <si>
    <t>ОБЩЕСТВО С ОГРАНИЧЕННОЙ ОТВЕТСТВЕННОСТЬЮ "АЛЬЯНС-Л"</t>
  </si>
  <si>
    <t>9310015691</t>
  </si>
  <si>
    <t>1249300014875</t>
  </si>
  <si>
    <t>287557, ДОНЕЦКАЯ НАРОДНАЯ РЕСПУБЛИКА, МАРИУПОЛЬ, Г. МАРИУПОЛЬ, Г. МАРИУПОЛЬ, УЛ. ОЛИМПИЙСКАЯ, Д. 165</t>
  </si>
  <si>
    <t>ООО "АП БИЗНЕС ГРУПП"</t>
  </si>
  <si>
    <t>ОБЩЕСТВО С ОГРАНИЧЕННОЙ ОТВЕТСТВЕННОСТЬЮ "АП БИЗНЕС ГРУПП"</t>
  </si>
  <si>
    <t>9310015638</t>
  </si>
  <si>
    <t>1249300014677</t>
  </si>
  <si>
    <t>ООО "АС"</t>
  </si>
  <si>
    <t>ОБЩЕСТВО С ОГРАНИЧЕННОЙ ОТВЕТСТВЕННОСТЬЮ "АС"</t>
  </si>
  <si>
    <t>9310015652</t>
  </si>
  <si>
    <t>1249300014732</t>
  </si>
  <si>
    <t>ДОНЕЦКАЯ НАРОДНАЯ РЕСПУБЛИКА, МАРИУПОЛЬ, Г. МАРИУПОЛЬ, Г. МАРИУПОЛЬ, УЛ. ГОРНАЯ, Д. 159</t>
  </si>
  <si>
    <t>ООО "ДЕВЯТОЧКА"</t>
  </si>
  <si>
    <t>ОБЩЕСТВО С ОГРАНИЧЕННОЙ ОТВЕТСТВЕННОСТЬЮ "ДЕВЯТОЧКА"</t>
  </si>
  <si>
    <t>9310015645</t>
  </si>
  <si>
    <t>1249300014710</t>
  </si>
  <si>
    <t>ООО "КОМПАНЬОН"</t>
  </si>
  <si>
    <t>ОБЩЕСТВО С ОГРАНИЧЕННОЙ ОТВЕТСТВЕННОСТЬЮ "КОМПАНЬОН"</t>
  </si>
  <si>
    <t>9310015660</t>
  </si>
  <si>
    <t>1249300014743</t>
  </si>
  <si>
    <t>287541, ДОНЕЦКАЯ НАРОДНАЯ РЕСПУБЛИКА, МАРИУПОЛЬ, Г. МАРИУПОЛЬ, Г. МАРИУПОЛЬ, УЛ. МОСКОВСКАЯ, Д. 24, КВ. 7</t>
  </si>
  <si>
    <t>ООО "ЛАМА"</t>
  </si>
  <si>
    <t>ОБЩЕСТВО С ОГРАНИЧЕННОЙ ОТВЕТСТВЕННОСТЬЮ "ЛАМА"</t>
  </si>
  <si>
    <t>9310015606</t>
  </si>
  <si>
    <t>1249300014545</t>
  </si>
  <si>
    <t>ДОНЕЦКАЯ НАРОДНАЯ РЕСПУБЛИКА, МАРИУПОЛЬ, Г. МАРИУПОЛЬ, Г. МАРИУПОЛЬ, ПР-КТ ИЛЬИЧА, Д. 140, ПОМЕЩ. 99</t>
  </si>
  <si>
    <t>ООО "ПКФ "АЗОВНВ"</t>
  </si>
  <si>
    <t>ОБЩЕСТВО С ОГРАНИЧЕННОЙ ОТВЕТСТВЕННОСТЬЮ "ПРОИЗВОДСТВЕННО-КОММЕРЧЕСКАЯ ФИРМА "АЗОВНВ"</t>
  </si>
  <si>
    <t>9310015701</t>
  </si>
  <si>
    <t>1249300014886</t>
  </si>
  <si>
    <t>287504, ДОНЕЦКАЯ НАРОДНАЯ РЕСПУБЛИКА, МАРИУПОЛЬ, Г. МАРИУПОЛЬ, Г. МАРИУПОЛЬ, ПР-КТ ИЛЬИЧА, Д. 50</t>
  </si>
  <si>
    <t>ООО "РЕАЛТУР"</t>
  </si>
  <si>
    <t>ОБЩЕСТВО С ОГРАНИЧЕННОЙ ОТВЕТСТВЕННОСТЬЮ "РЕАЛТУР"</t>
  </si>
  <si>
    <t>9310015684</t>
  </si>
  <si>
    <t>1249300014853</t>
  </si>
  <si>
    <t>ДОНЕЦКАЯ НАРОДНАЯ РЕСПУБЛИКА, МАРИУПОЛЬ, Г. МАРИУПОЛЬ, Г. МАРИУПОЛЬ, ПР-КТ МЕТАЛЛУРГОВ, Д. 92А, ПОМЕЩ. 7</t>
  </si>
  <si>
    <t>ООО "РЕСПЕКТ ПЛЮС"</t>
  </si>
  <si>
    <t>ОБЩЕСТВО С ОГРАНИЧЕННОЙ ОТВЕТСТВЕННОСТЬЮ "РЕСПЕКТ ПЛЮС"</t>
  </si>
  <si>
    <t>9310012108</t>
  </si>
  <si>
    <t>1249300002621</t>
  </si>
  <si>
    <t>ООО "С&amp;Е ИНЖИНИРИНГ"</t>
  </si>
  <si>
    <t>ОБЩЕСТВО С ОГРАНИЧЕННОЙ ОТВЕТСТВЕННОСТЬЮ "С&amp;Е ИНЖИНИРИНГ"</t>
  </si>
  <si>
    <t>9310015613</t>
  </si>
  <si>
    <t>1249300014556</t>
  </si>
  <si>
    <t>ДОНЕЦКАЯ НАРОДНАЯ РЕСПУБЛИКА, МАРИУПОЛЬ, Г. МАРИУПОЛЬ, Г. МАРИУПОЛЬ, УЛ. ФОНТАННАЯ, Д. 77, ОФИС 26</t>
  </si>
  <si>
    <t>ООО "СИМФОНИЯ СТАЛИ"</t>
  </si>
  <si>
    <t>ОБЩЕСТВО С ОГРАНИЧЕННОЙ ОТВЕТСТВЕННОСТЬЮ "СИМФОНИЯ СТАЛИ"</t>
  </si>
  <si>
    <t>9310015758</t>
  </si>
  <si>
    <t>1249300015128</t>
  </si>
  <si>
    <t>ООО "ХОРОШЕЕ ДЕЛО"</t>
  </si>
  <si>
    <t>ОБЩЕСТВО С ОГРАНИЧЕННОЙ ОТВЕТСТВЕННОСТЬЮ "ХОРОШЕЕ ДЕЛО"</t>
  </si>
  <si>
    <t>9310015677</t>
  </si>
  <si>
    <t>1249300014765</t>
  </si>
  <si>
    <t>287501, ДОНЕЦКАЯ НАРОДНАЯ РЕСПУБЛИКА, МАРИУПОЛЬ, Г. МАРИУПОЛЬ, Г. МАРИУПОЛЬ, ПР-КТ ЛЕНИНА, Д. 54/46, ПОМЕЩ. 30</t>
  </si>
  <si>
    <t>СНТ "ЗАРЕЧНОЕ-2"</t>
  </si>
  <si>
    <t>САДОВОДЧЕСКОЕ НЕКОММЕРЧЕСКОЕ ТОВАРИЩЕСТВО "ЗАРЕЧНОЕ-2"</t>
  </si>
  <si>
    <t>9310015726</t>
  </si>
  <si>
    <t>1249300014963</t>
  </si>
  <si>
    <t>ДОНЕЦКАЯ НАРОДНАЯ РЕСПУБЛИКА, МАРИУПОЛЬ, Г. МАРИУПОЛЬ, Г. МАРИУПОЛЬ, УЛ. ГОРЛОВСКАЯ, Д. 2/13, КВ. 106</t>
  </si>
  <si>
    <t>ТСН "АВТОЛЮБИТЕЛЬ-26"</t>
  </si>
  <si>
    <t>ТОВАРИЩЕСТВО СОБСТВЕННИКОВ НЕДВИЖИМОСТИ "АВТОЛЮБИТЕЛЬ-26"</t>
  </si>
  <si>
    <t>9310015740</t>
  </si>
  <si>
    <t>1249300014996</t>
  </si>
  <si>
    <t>ДОНЕЦКАЯ НАРОДНАЯ РЕСПУБЛИКА, МАРИУПОЛЬ, Г. МАРИУПОЛЬ, Г. МАРИУПОЛЬ, УЛ. ЗАОЗЁРНАЯ, Д. 64В</t>
  </si>
  <si>
    <t>ООО "П-МАКС"</t>
  </si>
  <si>
    <t>ОБЩЕСТВО С ОГРАНИЧЕННОЙ ОТВЕТСТВЕННОСТЬЮ "П-МАКС"</t>
  </si>
  <si>
    <t>9310015980</t>
  </si>
  <si>
    <t>1249300015832</t>
  </si>
  <si>
    <t>287557, ДОНЕЦКАЯ НАРОДНАЯ РЕСПУБЛИКА, МАРИУПОЛЬ, Г. МАРИУПОЛЬ, Г. МАРИУПОЛЬ, ПР-КТ МАРШАЛА ЖУКОВА, Д. 50, КВ. 70</t>
  </si>
  <si>
    <t>ДРОО "ФЕДЕРАЦИЯ ТАНЦЕВАЛЬНОГО СПОРТА ДОНБАССА"</t>
  </si>
  <si>
    <t>ДОНЕЦКАЯ РЕГИОНАЛЬНАЯ ОБЩЕСТВЕННАЯ ОРГАНИЗАЦИЯ "ФЕДЕРАЦИЯ ТАНЦЕВАЛЬНОГО СПОРТА ДОНБАССА"</t>
  </si>
  <si>
    <t>9310016180</t>
  </si>
  <si>
    <t>1249300016525</t>
  </si>
  <si>
    <t>287537, ДОНЕЦКАЯ НАРОДНАЯ РЕСПУБЛИКА, МАРИУПОЛЬ, Г. МАРИУПОЛЬ, Г. МАРИУПОЛЬ, ПР-КТ СТРОИТЕЛЕЙ, Д. 84, КВ. 82</t>
  </si>
  <si>
    <t>ООО "АИС"</t>
  </si>
  <si>
    <t>ОБЩЕСТВО С ОГРАНИЧЕННОЙ ОТВЕТСТВЕННОСТЬЮ "АЗОВСКИЕ ИНЖЕНЕРНЫЕ СЕТИ"</t>
  </si>
  <si>
    <t>9310016215</t>
  </si>
  <si>
    <t>1249300016866</t>
  </si>
  <si>
    <t>287501, ДОНЕЦКАЯ НАРОДНАЯ РЕСПУБЛИКА, МАРИУПОЛЬ, Г. МАРИУПОЛЬ, Г. МАРИУПОЛЬ, УЛ. НИКОЛАЕВСКАЯ, Д. 66, ПОМЕЩ. 6</t>
  </si>
  <si>
    <t>ООО "АКРА"</t>
  </si>
  <si>
    <t>ОБЩЕСТВО С ОГРАНИЧЕННОЙ ОТВЕТСТВЕННОСТЬЮ "АКРА"</t>
  </si>
  <si>
    <t>9310016159</t>
  </si>
  <si>
    <t>1249300016360</t>
  </si>
  <si>
    <t>ДОНЕЦКАЯ НАРОДНАЯ РЕСПУБЛИКА, МАРИУПОЛЬ, Г. МАРИУПОЛЬ, Г. МАРИУПОЛЬ, УЛ. СЕМЕНИШИНА, Д. 32А, ПОМЕЩ. 1</t>
  </si>
  <si>
    <t>ООО "АЛКОМИР"</t>
  </si>
  <si>
    <t>ОБЩЕСТВО С ОГРАНИЧЕННОЙ ОТВЕТСТВЕННОСТЬЮ "АЛКОМИР"</t>
  </si>
  <si>
    <t>9310012027</t>
  </si>
  <si>
    <t>1249300001675</t>
  </si>
  <si>
    <t>287501, ДОНЕЦКАЯ НАРОДНАЯ РЕСПУБЛИКА, МАРИУПОЛЬ, Г. МАРИУПОЛЬ, Г. МАРИУПОЛЬ, УЛ. КАЗАНЦЕВА, Д. 22А, КВ. 33</t>
  </si>
  <si>
    <t>ООО "АЛЬ-АМАНА"</t>
  </si>
  <si>
    <t>ОБЩЕСТВО С ОГРАНИЧЕННОЙ ОТВЕТСТВЕННОСТЬЮ "АЛЬ-АМАНА"</t>
  </si>
  <si>
    <t>9310016208</t>
  </si>
  <si>
    <t>1249300016734</t>
  </si>
  <si>
    <t>ДОНЕЦКАЯ НАРОДНАЯ РЕСПУБЛИКА, МАРИУПОЛЬ, Г. МАРИУПОЛЬ, Г. МАРИУПОЛЬ, УЛ. КРАСНОМАЯКСКАЯ, Д. 2, К. 1, ПОМЕЩ. 106</t>
  </si>
  <si>
    <t>ООО "ДЕНЖЕ ГРУПП"</t>
  </si>
  <si>
    <t>ОБЩЕСТВО С ОГРАНИЧЕННОЙ ОТВЕТСТВЕННОСТЬЮ "ДЕНЖЕ ГРУПП"</t>
  </si>
  <si>
    <t>9310016039</t>
  </si>
  <si>
    <t>1249300015997</t>
  </si>
  <si>
    <t>ДОНЕЦКАЯ НАРОДНАЯ РЕСПУБЛИКА, МАРИУПОЛЬ, Г. МАРИУПОЛЬ, Г. МАРИУПОЛЬ, ПЕР. ЕРМАКА, Д. 44А, ПОМЕЩ. 3</t>
  </si>
  <si>
    <t>ООО "ДОНБАСС-СЕРВИС"</t>
  </si>
  <si>
    <t>ОБЩЕСТВО С ОГРАНИЧЕННОЙ ОТВЕТСТВЕННОСТЬЮ "ДОНБАСС-СЕРВИС"</t>
  </si>
  <si>
    <t>9310016085</t>
  </si>
  <si>
    <t>1249300016217</t>
  </si>
  <si>
    <t>287504, ДОНЕЦКАЯ НАРОДНАЯ РЕСПУБЛИКА, МАРИУПОЛЬ, Г. МАРИУПОЛЬ, Г. МАРИУПОЛЬ, ПР-КТ ИЛЬИЧА, Д. 75А, ОФИС 3</t>
  </si>
  <si>
    <t>ООО "ДРЕВОМАСТЕРОВ"</t>
  </si>
  <si>
    <t>ОБЩЕСТВО С ОГРАНИЧЕННОЙ ОТВЕТСТВЕННОСТЬЮ "ДРЕВОМАСТЕРОВ"</t>
  </si>
  <si>
    <t>9310016110</t>
  </si>
  <si>
    <t>1249300016240</t>
  </si>
  <si>
    <t>ООО "ИКС"</t>
  </si>
  <si>
    <t>ОБЩЕСТВО С ОГРАНИЧЕННОЙ ОТВЕТСТВЕННОСТЬЮ "ИННОВАЦИОННЫЕ КОНСАЛТИНГОВЫЕ СИСТЕМЫ"</t>
  </si>
  <si>
    <t>9310016222</t>
  </si>
  <si>
    <t>1249300016877</t>
  </si>
  <si>
    <t>ДОНЕЦКАЯ НАРОДНАЯ РЕСПУБЛИКА, МАРИУПОЛЬ, Г. МАРИУПОЛЬ, Г. МАРИУПОЛЬ, ПР-КТ МЕТАЛЛУРГОВ, Д. 92А, ПОМЕЩ. 18</t>
  </si>
  <si>
    <t>ООО "МДМ-ГРУПП"</t>
  </si>
  <si>
    <t>ОБЩЕСТВО С ОГРАНИЧЕННОЙ ОТВЕТСТВЕННОСТЬЮ "МДМ-ГРУПП"</t>
  </si>
  <si>
    <t>9310014271</t>
  </si>
  <si>
    <t>1249300010464</t>
  </si>
  <si>
    <t>ООО "МИЛАНА"</t>
  </si>
  <si>
    <t>ОБЩЕСТВО С ОГРАНИЧЕННОЙ ОТВЕТСТВЕННОСТЬЮ "МИЛАНА"</t>
  </si>
  <si>
    <t>9310015998</t>
  </si>
  <si>
    <t>1249300015854</t>
  </si>
  <si>
    <t>287526, ДОНЕЦКАЯ НАРОДНАЯ РЕСПУБЛИКА, МАРИУПОЛЬ, Г. МАРИУПОЛЬ, Г. МАРИУПОЛЬ, УЛ. ОЛИМПИЙСКАЯ, Д. 65, КВ. 98</t>
  </si>
  <si>
    <t>ООО "ОЛНАЙТ"</t>
  </si>
  <si>
    <t>ОБЩЕСТВО С ОГРАНИЧЕННОЙ ОТВЕТСТВЕННОСТЬЮ "ОЛНАЙТ"</t>
  </si>
  <si>
    <t>9310016053</t>
  </si>
  <si>
    <t>1249300016030</t>
  </si>
  <si>
    <t>ДОНЕЦКАЯ НАРОДНАЯ РЕСПУБЛИКА, МАРИУПОЛЬ, Г. МАРИУПОЛЬ, Г. МАРИУПОЛЬ, УЛ. ЯКОВА ГУГЕЛЯ, Д. 12</t>
  </si>
  <si>
    <t>ООО "ОРФЕЙ"</t>
  </si>
  <si>
    <t>ОБЩЕСТВО С ОГРАНИЧЕННОЙ ОТВЕТСТВЕННОСТЬЮ "ОРФЕЙ"</t>
  </si>
  <si>
    <t>9310016141</t>
  </si>
  <si>
    <t>1249300016316</t>
  </si>
  <si>
    <t>ООО "ПРОМИНЖИНИРИНГ"</t>
  </si>
  <si>
    <t>ОБЩЕСТВО С ОГРАНИЧЕННОЙ ОТВЕТСТВЕННОСТЬЮ "ПРОМИНЖИНИРИНГ"</t>
  </si>
  <si>
    <t>9310016102</t>
  </si>
  <si>
    <t>1249300016228</t>
  </si>
  <si>
    <t>ООО "ПРОФМАРКЕТ-ДВЕРИ"</t>
  </si>
  <si>
    <t>ОБЩЕСТВО С ОГРАНИЧЕННОЙ ОТВЕТСТВЕННОСТЬЮ "ПРОФМАРКЕТ-ДВЕРИ"</t>
  </si>
  <si>
    <t>9310015973</t>
  </si>
  <si>
    <t>1249300015821</t>
  </si>
  <si>
    <t>ООО "РДС"</t>
  </si>
  <si>
    <t>ОБЩЕСТВО С ОГРАНИЧЕННОЙ ОТВЕТСТВЕННОСТЬЮ "РДС"</t>
  </si>
  <si>
    <t>9310016173</t>
  </si>
  <si>
    <t>1249300016448</t>
  </si>
  <si>
    <t>287504, ДОНЕЦКАЯ НАРОДНАЯ РЕСПУБЛИКА, МАРИУПОЛЬ, Г. МАРИУПОЛЬ, Г. МАРИУПОЛЬ, ПР-КТ ИЛЬИЧА, Д. 75А, ОФИС 1</t>
  </si>
  <si>
    <t>ООО "РЕСТО ПРО ДИЗАЙН"</t>
  </si>
  <si>
    <t>ОБЩЕСТВО С ОГРАНИЧЕННОЙ ОТВЕТСТВЕННОСТЬЮ "РЕСТО ПРО ДИЗАЙН"</t>
  </si>
  <si>
    <t>9310016127</t>
  </si>
  <si>
    <t>1249300016261</t>
  </si>
  <si>
    <t>ДОНЕЦКАЯ НАРОДНАЯ РЕСПУБЛИКА, МАРИУПОЛЬ, Г. МАРИУПОЛЬ, Г. МАРИУПОЛЬ, УЛ. ГЕОРГИЕВСКАЯ, Д. 11</t>
  </si>
  <si>
    <t>ООО "С СТРОЙ"</t>
  </si>
  <si>
    <t>ОБЩЕСТВО С ОГРАНИЧЕННОЙ ОТВЕТСТВЕННОСТЬЮ "СТАНДАРТ СТРОЙ"</t>
  </si>
  <si>
    <t>9310015966</t>
  </si>
  <si>
    <t>1249300015678</t>
  </si>
  <si>
    <t>287541, ДОНЕЦКАЯ НАРОДНАЯ РЕСПУБЛИКА, МАРИУПОЛЬ, Г. МАРИУПОЛЬ, Г. МАРИУПОЛЬ, Б-Р 50 ЛЕТ ОКТЯБРЯ, Д. 11, ПОМЕЩ. 70</t>
  </si>
  <si>
    <t>ООО "СК ГСС"</t>
  </si>
  <si>
    <t>ОБЩЕСТВО С ОГРАНИЧЕННОЙ ОТВЕТСТВЕННОСТЬЮ "СТРОИТЕЛЬНАЯ КОМПАНИЯ ГАРАНТСТАНДАРТСТРОЙ "</t>
  </si>
  <si>
    <t>9310016247</t>
  </si>
  <si>
    <t>1249300016921</t>
  </si>
  <si>
    <t>ООО "ТЕПЛОКОМ"</t>
  </si>
  <si>
    <t>ОБЩЕСТВО С ОГРАНИЧЕННОЙ ОТВЕТСТВЕННОСТЬЮ "ТЕПЛОКОМ"</t>
  </si>
  <si>
    <t>9310016261</t>
  </si>
  <si>
    <t>1249300016987</t>
  </si>
  <si>
    <t>ДОНЕЦКАЯ НАРОДНАЯ РЕСПУБЛИКА, МАРИУПОЛЬ, Г. МАРИУПОЛЬ, Г. МАРИУПОЛЬ, УЛ. ЛОБАЧЕВСКОГО, Д. 1</t>
  </si>
  <si>
    <t>ООО "ТОРГ СЕРВИС"</t>
  </si>
  <si>
    <t>ОБЩЕСТВО С ОГРАНИЧЕННОЙ ОТВЕТСТВЕННОСТЬЮ "ТОРГ СЕРВИС"</t>
  </si>
  <si>
    <t>9310016078</t>
  </si>
  <si>
    <t>1249300016118</t>
  </si>
  <si>
    <t>9310016254</t>
  </si>
  <si>
    <t>1249300016943</t>
  </si>
  <si>
    <t>287501, ДОНЕЦКАЯ НАРОДНАЯ РЕСПУБЛИКА, МАРИУПОЛЬ, Г. МАРИУПОЛЬ, Г. МАРИУПОЛЬ, ПР-КТ ЛЕНИНА, Д. 54/46</t>
  </si>
  <si>
    <t>ООО "ЮРИДИЧЕСКАЯ КОМПАНИЯ "ЛЕГАЛ ШТОРМ"</t>
  </si>
  <si>
    <t>ОБЩЕСТВО С ОГРАНИЧЕННОЙ ОТВЕТСТВЕННОСТЬЮ "ЮРИДИЧЕСКАЯ КОМПАНИЯ "ЛЕГАЛ ШТОРМ"</t>
  </si>
  <si>
    <t>9310016134</t>
  </si>
  <si>
    <t>1249300016283</t>
  </si>
  <si>
    <t>ООО СК "АХМАД"</t>
  </si>
  <si>
    <t>ОБЩЕСТВО С ОГРАНИЧЕННОЙ ОТВЕТСТВЕННОСТЬЮ СК "АХМАД"</t>
  </si>
  <si>
    <t>9310016166</t>
  </si>
  <si>
    <t>1249300016404</t>
  </si>
  <si>
    <t>ДОНЕЦКАЯ НАРОДНАЯ РЕСПУБЛИКА, МАРИУПОЛЬ, Г. МАРИУПОЛЬ, Г. МАРИУПОЛЬ, УЛ. МИТРОПОЛИТСКАЯ, Д. 51</t>
  </si>
  <si>
    <t>СНТ "МЕДИК"</t>
  </si>
  <si>
    <t>САДОВОДЧЕСКОЕ НЕКОММЕРЧЕСКОЕ ТОВАРИЩЕСТВО "МЕДИК"</t>
  </si>
  <si>
    <t>9310016060</t>
  </si>
  <si>
    <t>1249300016085</t>
  </si>
  <si>
    <t>ДОНЕЦКАЯ НАРОДНАЯ РЕСПУБЛИКА, МАРИУПОЛЬ, Г. МАРИУПОЛЬ, Г. МАРИУПОЛЬ, УЛ. ЗЕРКАЛЬНАЯ, Д. 25</t>
  </si>
  <si>
    <t>АНБО "ПАТРИАРШАЯ ГУМАНИТАРНАЯ МИССИЯ"</t>
  </si>
  <si>
    <t>АВТОНОМНАЯ НЕКОММЕРЧЕСКАЯ БЛАГОТВОРИТЕЛЬНАЯ ОРГАНИЗАЦИЯ "ПАТРИАРШАЯ ГУМАНИТАРНАЯ МИССИЯ"</t>
  </si>
  <si>
    <t>9310016649</t>
  </si>
  <si>
    <t>1249300018120</t>
  </si>
  <si>
    <t>ДОНЕЦКАЯ НАРОДНАЯ РЕСПУБЛИКА, МАРИУПОЛЬ, Г. МАРИУПОЛЬ, Г. МАРИУПОЛЬ, УЛ. ГРОМОВОЙ, Д. 65</t>
  </si>
  <si>
    <t>ООО "АЛИСА"</t>
  </si>
  <si>
    <t>ОБЩЕСТВО С ОГРАНИЧЕННОЙ ОТВЕТСТВЕННОСТЬЮ "АЛИСА"</t>
  </si>
  <si>
    <t>9310016279</t>
  </si>
  <si>
    <t>1249300016998</t>
  </si>
  <si>
    <t>ООО "БАЗА"</t>
  </si>
  <si>
    <t>ОБЩЕСТВО С ОГРАНИЧЕННОЙ ОТВЕТСТВЕННОСТЬЮ "БАЗА"</t>
  </si>
  <si>
    <t>9310016416</t>
  </si>
  <si>
    <t>1249300017482</t>
  </si>
  <si>
    <t>ДОНЕЦКАЯ НАРОДНАЯ РЕСПУБЛИКА, МАРИУПОЛЬ, Г. МАРИУПОЛЬ, Г. МАРИУПОЛЬ, ПР-КТ ИЛЬИЧА, Д. 122А, ОФИС 1</t>
  </si>
  <si>
    <t>ООО "БД"</t>
  </si>
  <si>
    <t>ОБЩЕСТВО С ОГРАНИЧЕННОЙ ОТВЕТСТВЕННОСТЬЮ "БЕЗОПАСНЫЙ ДОМ"</t>
  </si>
  <si>
    <t>9310016575</t>
  </si>
  <si>
    <t>1249300017878</t>
  </si>
  <si>
    <t>287512, ДОНЕЦКАЯ НАРОДНАЯ РЕСПУБЛИКА, МАРИУПОЛЬ, Г. МАРИУПОЛЬ, Г. МАРИУПОЛЬ, УЛ. 60 ЛЕТ СССР, Д. 31, ПОМЕЩ. 130</t>
  </si>
  <si>
    <t>ООО "ВИТА МЕДФАРМ"</t>
  </si>
  <si>
    <t>ОБЩЕСТВО С ОГРАНИЧЕННОЙ ОТВЕТСТВЕННОСТЬЮ "ВИТА МЕДФАРМ"</t>
  </si>
  <si>
    <t>9310016448</t>
  </si>
  <si>
    <t>1249300017560</t>
  </si>
  <si>
    <t>ДОНЕЦКАЯ НАРОДНАЯ РЕСПУБЛИКА, МАРИУПОЛЬ, Г. МАРИУПОЛЬ, Г. МАРИУПОЛЬ, УЛ. КАРЛА ЛИБКНЕХТА, Д. 110</t>
  </si>
  <si>
    <t>ООО "ГАРАНТ КОНСАЛТИНГ"</t>
  </si>
  <si>
    <t>ОБЩЕСТВО С ОГРАНИЧЕННОЙ ОТВЕТСТВЕННОСТЬЮ "ГАРАНТ КОНСАЛТИНГ"</t>
  </si>
  <si>
    <t>9310016712</t>
  </si>
  <si>
    <t>1249300018230</t>
  </si>
  <si>
    <t>ДОНЕЦКАЯ НАРОДНАЯ РЕСПУБЛИКА, МАРИУПОЛЬ, Г. МАРИУПОЛЬ, Г. МАРИУПОЛЬ, УЛ. ГРЕЧЕСКАЯ, Д. 34А, ПОМЕЩ. 3</t>
  </si>
  <si>
    <t>ООО "ГЛОНАСС-ЮГ"</t>
  </si>
  <si>
    <t>ОБЩЕСТВО С ОГРАНИЧЕННОЙ ОТВЕТСТВЕННОСТЬЮ "ГЛОНАСС-ЮГ"</t>
  </si>
  <si>
    <t>9310016430</t>
  </si>
  <si>
    <t>1249300017537</t>
  </si>
  <si>
    <t>ДОНЕЦКАЯ НАРОДНАЯ РЕСПУБЛИКА, МАРИУПОЛЬ, Г. МАРИУПОЛЬ, Г. МАРИУПОЛЬ, ПР-КТ МЕТАЛЛУРГОВ, Д. 92А, ПОМЕЩ. 14</t>
  </si>
  <si>
    <t>ООО "ГРАНД"</t>
  </si>
  <si>
    <t>ОБЩЕСТВО С ОГРАНИЧЕННОЙ ОТВЕТСТВЕННОСТЬЮ "ГРАНД"</t>
  </si>
  <si>
    <t>9310016335</t>
  </si>
  <si>
    <t>1249300017185</t>
  </si>
  <si>
    <t>287541, ДОНЕЦКАЯ НАРОДНАЯ РЕСПУБЛИКА, МАРИУПОЛЬ, Г. МАРИУПОЛЬ, Г. МАРИУПОЛЬ, ПР-КТ ПОБЕДЫ, Д. 47, ПОМЕЩ. 48</t>
  </si>
  <si>
    <t>ООО "ДАЛИН"</t>
  </si>
  <si>
    <t>ОБЩЕСТВО С ОГРАНИЧЕННОЙ ОТВЕТСТВЕННОСТЬЮ "ДАЛИН"</t>
  </si>
  <si>
    <t>9310016409</t>
  </si>
  <si>
    <t>1249300017449</t>
  </si>
  <si>
    <t>ДОНЕЦКАЯ НАРОДНАЯ РЕСПУБЛИКА, МАРИУПОЛЬ, Г. МАРИУПОЛЬ, Г. МАРИУПОЛЬ, УЛ. ПАНФИЛОВА, Д. 64А</t>
  </si>
  <si>
    <t>ООО "КАЛИФОРНИЯ"</t>
  </si>
  <si>
    <t>ОБЩЕСТВО С ОГРАНИЧЕННОЙ ОТВЕТСТВЕННОСТЬЮ "КАЛИФОРНИЯ"</t>
  </si>
  <si>
    <t>9310016590</t>
  </si>
  <si>
    <t>1249300017900</t>
  </si>
  <si>
    <t>ДОНЕЦКАЯ НАРОДНАЯ РЕСПУБЛИКА, МАРИУПОЛЬ, Г. МАРИУПОЛЬ, Г. МАРИУПОЛЬ, УЛ. КАРЛА ЛИБКНЕХТА, Д. 99</t>
  </si>
  <si>
    <t>ООО "ЛЮКС СТРОЙ"</t>
  </si>
  <si>
    <t>ОБЩЕСТВО С ОГРАНИЧЕННОЙ ОТВЕТСТВЕННОСТЬЮ "ЛЮКС СТРОЙ"</t>
  </si>
  <si>
    <t>9310016381</t>
  </si>
  <si>
    <t>1249300017416</t>
  </si>
  <si>
    <t>ДОНЕЦКАЯ НАРОДНАЯ РЕСПУБЛИКА, МАРИУПОЛЬ, Г. МАРИУПОЛЬ, Г. МАРИУПОЛЬ, УЛ. КАРПИНСКОГО, Д. 84, К. 3, КВ. 54</t>
  </si>
  <si>
    <t>ООО "ММЦ"</t>
  </si>
  <si>
    <t>ОБЩЕСТВО С ОГРАНИЧЕННОЙ ОТВЕТСТВЕННОСТЬЮ "МЕЖРЕГИОНАЛЬНЫЙ МНОГОПРОФИЛЬНЫЙ ЦЕНТР"</t>
  </si>
  <si>
    <t>9310016529</t>
  </si>
  <si>
    <t>1249300017713</t>
  </si>
  <si>
    <t>9310016462</t>
  </si>
  <si>
    <t>1249300017570</t>
  </si>
  <si>
    <t>ДОНЕЦКАЯ НАРОДНАЯ РЕСПУБЛИКА, МАРИУПОЛЬ, Г. МАРИУПОЛЬ, Г. МАРИУПОЛЬ, УЛ. МИТРОПОЛИТСКАЯ, Д. 60, ПОМЕЩ. 46</t>
  </si>
  <si>
    <t>ООО "ММК АСКЛЕПИЙОН"</t>
  </si>
  <si>
    <t>ОБЩЕСТВО С ОГРАНИЧЕННОЙ ОТВЕТСТВЕННОСТЬЮ "МНОГОПРОФИЛЬНАЯ МЕДИЦИНСКАЯ КЛИНИКА АСКЛЕПИЙОН"</t>
  </si>
  <si>
    <t>9310016536</t>
  </si>
  <si>
    <t>1249300017724</t>
  </si>
  <si>
    <t>287549, ДОНЕЦКАЯ НАРОДНАЯ РЕСПУБЛИКА, МАРИУПОЛЬ, Г. МАРИУПОЛЬ, Г. МАРИУПОЛЬ, УЛ. АРТЁМА, Д. 72</t>
  </si>
  <si>
    <t>ООО "НПП "СИСТЕМА.Х"</t>
  </si>
  <si>
    <t>ОБЩЕСТВО С ОГРАНИЧЕННОЙ ОТВЕТСТВЕННОСТЬЮ "НАУЧНО-ПРОИЗВОДСТВЕННОЕ ПРЕДПРИЯТИЕ "СИСТЕМА.Х"</t>
  </si>
  <si>
    <t>9310016423</t>
  </si>
  <si>
    <t>1249300017548</t>
  </si>
  <si>
    <t>ДОНЕЦКАЯ НАРОДНАЯ РЕСПУБЛИКА, МАРИУПОЛЬ, Г. МАРИУПОЛЬ, Г. МАРИУПОЛЬ, ПР-КТ МЕТАЛЛУРГОВ, Д. 92А, ПОМЕЩ. 6</t>
  </si>
  <si>
    <t>ООО "НАША МАРКА ПЛЮС"</t>
  </si>
  <si>
    <t>ОБЩЕСТВО С ОГРАНИЧЕННОЙ ОТВЕТСТВЕННОСТЬЮ "НАША МАРКА ПЛЮС"</t>
  </si>
  <si>
    <t>9310016286</t>
  </si>
  <si>
    <t>1249300017010</t>
  </si>
  <si>
    <t>ООО "НВ"</t>
  </si>
  <si>
    <t>ОБЩЕСТВО С ОГРАНИЧЕННОЙ ОТВЕТСТВЕННОСТЬЮ "НВ"</t>
  </si>
  <si>
    <t>9310016367</t>
  </si>
  <si>
    <t>1249300017295</t>
  </si>
  <si>
    <t>ООО "НЕПТУН"</t>
  </si>
  <si>
    <t>ОБЩЕСТВО С ОГРАНИЧЕННОЙ ОТВЕТСТВЕННОСТЬЮ "НЕПТУН"</t>
  </si>
  <si>
    <t>9310016455</t>
  </si>
  <si>
    <t>1249300017592</t>
  </si>
  <si>
    <t>ДОНЕЦКАЯ НАРОДНАЯ РЕСПУБЛИКА, МАРИУПОЛЬ, Г. МАРИУПОЛЬ, Г. МАРИУПОЛЬ, УЛ. ВЕРХНИЕ АДЖАХИ, Д. 37</t>
  </si>
  <si>
    <t>ООО "ОРАНЖ АВТО"</t>
  </si>
  <si>
    <t>ОБЩЕСТВО С ОГРАНИЧЕННОЙ ОТВЕТСТВЕННОСТЬЮ "ОРАНЖ АВТО"</t>
  </si>
  <si>
    <t>9310016695</t>
  </si>
  <si>
    <t>1249300018329</t>
  </si>
  <si>
    <t>ДОНЕЦКАЯ НАРОДНАЯ РЕСПУБЛИКА, МАРИУПОЛЬ, Г. МАРИУПОЛЬ, Г. МАРИУПОЛЬ, УЛ. КРЫЛОВА, Д. 28, ПОМЕЩ. 4</t>
  </si>
  <si>
    <t>ООО "ПЕРВЫЙ ЛОМБАРД МЛ"</t>
  </si>
  <si>
    <t>ОБЩЕСТВО С ОГРАНИЧЕННОЙ ОТВЕТСТВЕННОСТЬЮ "ПЕРВЫЙ ЛОМБАРД МЛ"</t>
  </si>
  <si>
    <t>9310016705</t>
  </si>
  <si>
    <t>1249300018340</t>
  </si>
  <si>
    <t>287501, ДОНЕЦКАЯ НАРОДНАЯ РЕСПУБЛИКА, МАРИУПОЛЬ, Г. МАРИУПОЛЬ, Г. МАРИУПОЛЬ, ПР-КТ МЕТАЛЛУРГОВ, Д. 64, ПОМЕЩ. 103</t>
  </si>
  <si>
    <t>ООО "РНС ГРУПП"</t>
  </si>
  <si>
    <t>ОБЩЕСТВО С ОГРАНИЧЕННОЙ ОТВЕТСТВЕННОСТЬЮ "РЕНЕССАНС ГРУПП"</t>
  </si>
  <si>
    <t>9310016511</t>
  </si>
  <si>
    <t>1249300017680</t>
  </si>
  <si>
    <t>287537, ДОНЕЦКАЯ НАРОДНАЯ РЕСПУБЛИКА, МАРИУПОЛЬ, Г. МАРИУПОЛЬ, Г. МАРИУПОЛЬ, ПР-КТ ЛЕНИНА, Д. 110, ПОМЕЩ. 166</t>
  </si>
  <si>
    <t>ООО "РИВЬЕРА"</t>
  </si>
  <si>
    <t>ОБЩЕСТВО С ОГРАНИЧЕННОЙ ОТВЕТСТВЕННОСТЬЮ "РИВЬЕРА"</t>
  </si>
  <si>
    <t>9310016342</t>
  </si>
  <si>
    <t>1249300017207</t>
  </si>
  <si>
    <t>ДОНЕЦКАЯ НАРОДНАЯ РЕСПУБЛИКА, МАРИУПОЛЬ, Г. МАРИУПОЛЬ, Г. МАРИУПОЛЬ, ПР-КТ СТРОИТЕЛЕЙ, Д. 125Б</t>
  </si>
  <si>
    <t>9310016600</t>
  </si>
  <si>
    <t>1249300017988</t>
  </si>
  <si>
    <t>ДОНЕЦКАЯ НАРОДНАЯ РЕСПУБЛИКА, МАРИУПОЛЬ, Г. МАРИУПОЛЬ, Г. МАРИУПОЛЬ, УЛ. ШЕПОТИЛЕНКО, Д. 2</t>
  </si>
  <si>
    <t>ООО "СЗ "СУ-2007 СК"</t>
  </si>
  <si>
    <t>ОБЩЕСТВО С ОГРАНИЧЕННОЙ ОТВЕТСТВЕННОСТЬЮ "СПЕЦИАЛИЗИРОВАННЫЙ ЗАСТРОЙЩИК "СТРОИТЕЛЬНОЕ УПРАВЛЕНИЕ-2007 СК"</t>
  </si>
  <si>
    <t>9310016582</t>
  </si>
  <si>
    <t>1249300017867</t>
  </si>
  <si>
    <t>ДОНЕЦКАЯ НАРОДНАЯ РЕСПУБЛИКА, МАРИУПОЛЬ, Г. МАРИУПОЛЬ, Г. МАРИУПОЛЬ, ПР-КТ МЕТАЛЛУРГОВ, Д. 87А, ПОМЕЩ. 6</t>
  </si>
  <si>
    <t>ООО "ССА"</t>
  </si>
  <si>
    <t>ОБЩЕСТВО С ОГРАНИЧЕННОЙ ОТВЕТСТВЕННОСТЬЮ "СПЕЦСНАБАВТО"</t>
  </si>
  <si>
    <t>9303037461</t>
  </si>
  <si>
    <t>1249300010332</t>
  </si>
  <si>
    <t>ООО "Т-ТРЕЙД"</t>
  </si>
  <si>
    <t>ОБЩЕСТВО С ОГРАНИЧЕННОЙ ОТВЕТСТВЕННОСТЬЮ "Т-ТРЕЙД"</t>
  </si>
  <si>
    <t>9310016543</t>
  </si>
  <si>
    <t>1249300017757</t>
  </si>
  <si>
    <t>287541, ДОНЕЦКАЯ НАРОДНАЯ РЕСПУБЛИКА, МАРИУПОЛЬ, Г. МАРИУПОЛЬ, Г. МАРИУПОЛЬ, ПР-КТ ТУЛЬСКИЙ, Д. 43/6, ПОМЕЩ. 13</t>
  </si>
  <si>
    <t>ООО "УСБ"</t>
  </si>
  <si>
    <t>ОБЩЕСТВО С ОГРАНИЧЕННОЙ ОТВЕТСТВЕННОСТЬЮ "УПРАВСТРОЙБИЗНЕС"</t>
  </si>
  <si>
    <t>9310016293</t>
  </si>
  <si>
    <t>1249300017020</t>
  </si>
  <si>
    <t>ООО "ФИРМА "ЛИАНА"</t>
  </si>
  <si>
    <t>ОБЩЕСТВО С ОГРАНИЧЕННОЙ ОТВЕТСТВЕННОСТЬЮ "ФИРМА "ЛИАНА"</t>
  </si>
  <si>
    <t>9310016670</t>
  </si>
  <si>
    <t>1249300018220</t>
  </si>
  <si>
    <t>ООО "ФЛЭШ"</t>
  </si>
  <si>
    <t>9310016737</t>
  </si>
  <si>
    <t>1249300018362</t>
  </si>
  <si>
    <t>ДОНЕЦКАЯ НАРОДНАЯ РЕСПУБЛИКА, МАРИУПОЛЬ, Г. МАРИУПОЛЬ, Г. МАРИУПОЛЬ, УЛ. КАЗАНЦЕВА, Д. 17</t>
  </si>
  <si>
    <t>9310016328</t>
  </si>
  <si>
    <t>1249300017152</t>
  </si>
  <si>
    <t>287510, ДОНЕЦКАЯ НАРОДНАЯ РЕСПУБЛИКА, МАРИУПОЛЬ, Г. МАРИУПОЛЬ, Г. МАРИУПОЛЬ, ПР-КТ СТРОИТЕЛЕЙ, Д. 48, ПОМЕЩ. 64</t>
  </si>
  <si>
    <t>ООО "ЮВТ"</t>
  </si>
  <si>
    <t>ОБЩЕСТВО С ОГРАНИЧЕННОЙ ОТВЕТСТВЕННОСТЬЮ "ЮЖНЫЕ ВЕТЕРИНАРНЫЕ ТЕХНОЛОГИИ"</t>
  </si>
  <si>
    <t>9310016720</t>
  </si>
  <si>
    <t>1249300018373</t>
  </si>
  <si>
    <t>ДОНЕЦКАЯ НАРОДНАЯ РЕСПУБЛИКА, МАРИУПОЛЬ, Г. МАРИУПОЛЬ, Г. МАРИУПОЛЬ, ПР-Д ОРДЖОНИКИДЗЕ, Д. 2, ПОМЕЩ. 2</t>
  </si>
  <si>
    <t>ООО "ЯСИНЕНКО"</t>
  </si>
  <si>
    <t>ОБЩЕСТВО С ОГРАНИЧЕННОЙ ОТВЕТСТВЕННОСТЬЮ "ЯСИНЕНКО"</t>
  </si>
  <si>
    <t>9310016487</t>
  </si>
  <si>
    <t>1249300017647</t>
  </si>
  <si>
    <t>ДОНЕЦКАЯ НАРОДНАЯ РЕСПУБЛИКА, МАРИУПОЛЬ, Г. МАРИУПОЛЬ, Г. МАРИУПОЛЬ, УЛ. А.М. ФУРМАНОВА, Д. 6</t>
  </si>
  <si>
    <t>ООО ИК НРС</t>
  </si>
  <si>
    <t>ОБЩЕСТВО С ОГРАНИЧЕННОЙ ОТВЕТСТВЕННОСТЬЮ ИНЖИНИРИНГОВАЯ КОМПАНИЯ НРС</t>
  </si>
  <si>
    <t>9310016568</t>
  </si>
  <si>
    <t>1249300017856</t>
  </si>
  <si>
    <t>ООО ТД "АРСЕНАЛ"</t>
  </si>
  <si>
    <t>ОБЩЕСТВО С ОГРАНИЧЕННОЙ ОТВЕТСТВЕННОСТЬЮ ТОРГОВЫЙ ДОМ "АРСЕНАЛ"</t>
  </si>
  <si>
    <t>9310016470</t>
  </si>
  <si>
    <t>1249300017603</t>
  </si>
  <si>
    <t>ДОНЕЦКАЯ НАРОДНАЯ РЕСПУБЛИКА, МАРИУПОЛЬ, Г. МАРИУПОЛЬ, Г. МАРИУПОЛЬ, ТЕР. ЖИЛМАССИВ АЗОВСКИЙ, Д. 5, КВ. 65</t>
  </si>
  <si>
    <t>ООО УЦ "ЭКСПЕРТ"</t>
  </si>
  <si>
    <t>ОБЩЕСТВО С ОГРАНИЧЕННОЙ ОТВЕТСТВЕННОСТЬЮ УЧЕБНЫЙ ЦЕНТР "ЭКСПЕРТ"</t>
  </si>
  <si>
    <t>9310016617</t>
  </si>
  <si>
    <t>1249300018021</t>
  </si>
  <si>
    <t>СНТ "НАДЕЖДА"</t>
  </si>
  <si>
    <t>САДОВОДЧЕСКОЕ НЕКОММЕРЧЕСКОЕ ТОВАРИЩЕСТВО "НАДЕЖДА"</t>
  </si>
  <si>
    <t>9310016374</t>
  </si>
  <si>
    <t>1249300017306</t>
  </si>
  <si>
    <t>287557, ДОНЕЦКАЯ НАРОДНАЯ РЕСПУБЛИКА, МАРИУПОЛЬ, Г. МАРИУПОЛЬ, Г. МАРИУПОЛЬ, УЛ. КИЕВСКАЯ, Д. 3, К. 3, КВ. 61</t>
  </si>
  <si>
    <t>ТСЖ "АЗОВ ХМЕЛЬНИЦК, 2"</t>
  </si>
  <si>
    <t>ТОВАРИЩЕСТВО СОБСТВЕННИКОВ ЖИЛЬЯ "АЗОВ ХМЕЛЬНИЦК, 2"</t>
  </si>
  <si>
    <t>9310016631</t>
  </si>
  <si>
    <t>1249300018065</t>
  </si>
  <si>
    <t>ДОНЕЦКАЯ НАРОДНАЯ РЕСПУБЛИКА, МАРИУПОЛЬ, Г. МАРИУПОЛЬ, Г. МАРИУПОЛЬ, УЛ. БАХЧИВАНДЖИ, Д. 10/6, КВ. 37</t>
  </si>
  <si>
    <t>ТСЖ "СОЗВЕЗДИЕ"</t>
  </si>
  <si>
    <t>ТОВАРИЩЕСТВО СОБСТВЕННИКОВ ЖИЛЬЯ "СОЗВЕЗДИЕ"</t>
  </si>
  <si>
    <t>9310016303</t>
  </si>
  <si>
    <t>1249300017075</t>
  </si>
  <si>
    <t>ДОНЕЦКАЯ НАРОДНАЯ РЕСПУБЛИКА, МАРИУПОЛЬ, Г. МАРИУПОЛЬ, Г. МАРИУПОЛЬ, УЛ. ГРОМОВОЙ, Д. 5А</t>
  </si>
  <si>
    <t>ТСН "ТЕХНОМАШ-АВТО"</t>
  </si>
  <si>
    <t>ТОВАРИЩЕСТВО СОБСТВЕННИКОВ НЕДВИЖИМОСТИ "ТЕХНОМАШ-АВТО"</t>
  </si>
  <si>
    <t>9310016399</t>
  </si>
  <si>
    <t>1249300017427</t>
  </si>
  <si>
    <t>АНО "КИНОСТУДИЯ ИМ. ДАНИЛЕВСКОГО"</t>
  </si>
  <si>
    <t>АВТОНОМНАЯ НЕКОММЕРЧЕСКАЯ ОРГАНИЗАЦИЯ "КИНОСТУДИЯ ИМЕНИ НИКОЛАЯ ЯКОВЛЕВИЧА ДАНИЛЕВСКОГО"</t>
  </si>
  <si>
    <t>9310016783</t>
  </si>
  <si>
    <t>1249300018626</t>
  </si>
  <si>
    <t>ЖСК "РОМАШКА"</t>
  </si>
  <si>
    <t>ЖИЛИЩНО-СТРОИТЕЛЬНЫЙ КООПЕРАТИВ "РОМАШКА"</t>
  </si>
  <si>
    <t>9310016984</t>
  </si>
  <si>
    <t>1249300019540</t>
  </si>
  <si>
    <t>ДОНЕЦКАЯ НАРОДНАЯ РЕСПУБЛИКА, МАРИУПОЛЬ, Г. МАРИУПОЛЬ, Г. МАРИУПОЛЬ, УЛ. БРЮЛЛОВА, Д. 48</t>
  </si>
  <si>
    <t>МОО "ФЕДЕРАЦИЯ СПОРТИВНОЙ БОРЬБЫ ПРИАЗОВЬЯ ДНР"</t>
  </si>
  <si>
    <t>МЕСТНАЯ ОБЩЕСТВЕННАЯ ОРГАНИЗАЦИЯ "ФЕДЕРАЦИЯ СПОРТИВНОЙ БОРЬБЫ ПРИАЗОВЬЯ ДОНЕЦКОЙ НАРОДНОЙ РЕСПУБЛИКИ"</t>
  </si>
  <si>
    <t>9310016790</t>
  </si>
  <si>
    <t>1249300018637</t>
  </si>
  <si>
    <t>287501, ДОНЕЦКАЯ НАРОДНАЯ РЕСПУБЛИКА, МАРИУПОЛЬ, Г. МАРИУПОЛЬ, Г. МАРИУПОЛЬ, УЛ. ЭНГЕЛЬСА, Д. 2, КОМ. 11</t>
  </si>
  <si>
    <t>МЕСТНАЯ РЕЛИГИОЗНАЯ ОРГАНИЗАЦИЯ ПРАВОСЛАВНЫЙ ПРИХОД СВЯТО-МИХАЙЛОВСКОГО ХРАМА ГОРОДА МАРИУПОЛЯ ДОНЕЦКОЙ ЕПАРХИИ РУССКОЙ ПРАВОСЛАВНОЙ ЦЕРКВИ (МОСКОВСКИЙ ПАТРИАРХАТ)</t>
  </si>
  <si>
    <t>9310016776</t>
  </si>
  <si>
    <t>1249300018593</t>
  </si>
  <si>
    <t>287510, ДОНЕЦКАЯ НАРОДНАЯ РЕСПУБЛИКА, МАРИУПОЛЬ, Г. МАРИУПОЛЬ, Г. МАРИУПОЛЬ, ПР-КТ НАХИМОВА, Д. 86</t>
  </si>
  <si>
    <t>ООО "АРСС"</t>
  </si>
  <si>
    <t>ОБЩЕСТВО С ОГРАНИЧЕННОЙ ОТВЕТСТВЕННОСТЬЮ "АРСС"</t>
  </si>
  <si>
    <t>9310016913</t>
  </si>
  <si>
    <t>1249300019341</t>
  </si>
  <si>
    <t>ДОНЕЦКАЯ НАРОДНАЯ РЕСПУБЛИКА, МАРИУПОЛЬ, Г. МАРИУПОЛЬ, Г. МАРИУПОЛЬ, ПЕР. ДНЕПРОПЕТРОВСКИЙ, Д. 2А</t>
  </si>
  <si>
    <t>ООО "БЫХИНВЕСТ"</t>
  </si>
  <si>
    <t>ОБЩЕСТВО С ОГРАНИЧЕННОЙ ОТВЕТСТВЕННОСТЬЮ "БЫХИНВЕСТ"</t>
  </si>
  <si>
    <t>9310016832</t>
  </si>
  <si>
    <t>1249300018912</t>
  </si>
  <si>
    <t>ДОНЕЦКАЯ НАРОДНАЯ РЕСПУБЛИКА, МАРИУПОЛЬ, Г. МАРИУПОЛЬ, Г. МАРИУПОЛЬ, ПР-КТ НАХИМОВА, ЗД. 166А, ПОМЕЩ. 3</t>
  </si>
  <si>
    <t>ООО "ДАЙРО"</t>
  </si>
  <si>
    <t>ОБЩЕСТВО С ОГРАНИЧЕННОЙ ОТВЕТСТВЕННОСТЬЮ "ДАЙРО"</t>
  </si>
  <si>
    <t>9310016871</t>
  </si>
  <si>
    <t>1249300019022</t>
  </si>
  <si>
    <t>287557, ДОНЕЦКАЯ НАРОДНАЯ РЕСПУБЛИКА, МАРИУПОЛЬ, Г. МАРИУПОЛЬ, Г. МАРИУПОЛЬ, УЛ. КИЕВСКАЯ, Д. 53, КВ. 116</t>
  </si>
  <si>
    <t>ООО "ДИКАЯ ВИШНЯ"</t>
  </si>
  <si>
    <t>ОБЩЕСТВО С ОГРАНИЧЕННОЙ ОТВЕТСТВЕННОСТЬЮ "ДИКАЯ ВИШНЯ"</t>
  </si>
  <si>
    <t>9310016977</t>
  </si>
  <si>
    <t>1249300019495</t>
  </si>
  <si>
    <t>ДОНЕЦКАЯ НАРОДНАЯ РЕСПУБЛИКА, МАРИУПОЛЬ, Г. МАРИУПОЛЬ, Г. МАРИУПОЛЬ, УЛ. ВИНОГРАДНАЯ, Д. 17</t>
  </si>
  <si>
    <t>ООО "ДОНМЕДТОРГ"</t>
  </si>
  <si>
    <t>ОБЩЕСТВО С ОГРАНИЧЕННОЙ ОТВЕТСТВЕННОСТЬЮ "ДОНМЕДТОРГ"</t>
  </si>
  <si>
    <t>9310016857</t>
  </si>
  <si>
    <t>1249300018956</t>
  </si>
  <si>
    <t>ООО "МЭС"</t>
  </si>
  <si>
    <t>ОБЩЕСТВО С ОГРАНИЧЕННОЙ ОТВЕТСТВЕННОСТЬЮ "МОНОЛИТ ЭНЕРГОСТРОЙ"</t>
  </si>
  <si>
    <t>9310016825</t>
  </si>
  <si>
    <t>1249300018736</t>
  </si>
  <si>
    <t>ООО "ОКЕАН 80"</t>
  </si>
  <si>
    <t>ОБЩЕСТВО С ОГРАНИЧЕННОЙ ОТВЕТСТВЕННОСТЬЮ "ОКЕАН 80"</t>
  </si>
  <si>
    <t>9310016920</t>
  </si>
  <si>
    <t>1249300019385</t>
  </si>
  <si>
    <t>ДОНЕЦКАЯ НАРОДНАЯ РЕСПУБЛИКА, МАРИУПОЛЬ, Г. МАРИУПОЛЬ, Г. МАРИУПОЛЬ, УЛ. ПРОСТОРНАЯ, Д. 32</t>
  </si>
  <si>
    <t>ООО "ПРОСПЕКТ"</t>
  </si>
  <si>
    <t>ОБЩЕСТВО С ОГРАНИЧЕННОЙ ОТВЕТСТВЕННОСТЬЮ "ПРОСПЕКТ"</t>
  </si>
  <si>
    <t>9310016960</t>
  </si>
  <si>
    <t>1249300019484</t>
  </si>
  <si>
    <t>287549, ДОНЕЦКАЯ НАРОДНАЯ РЕСПУБЛИКА, МАРИУПОЛЬ, Г. МАРИУПОЛЬ, Г. МАРИУПОЛЬ, ПР-КТ МЕТАЛЛУРГОВ, Д. 129Б, КВ. 43</t>
  </si>
  <si>
    <t>ООО "РАКЕТА ПЛЮС"</t>
  </si>
  <si>
    <t>ОБЩЕСТВО С ОГРАНИЧЕННОЙ ОТВЕТСТВЕННОСТЬЮ "РАКЕТА ПЛЮС"</t>
  </si>
  <si>
    <t>9310016840</t>
  </si>
  <si>
    <t>1249300018923</t>
  </si>
  <si>
    <t>ООО "РЕГИОН ГРУПП"</t>
  </si>
  <si>
    <t>ОБЩЕСТВО С ОГРАНИЧЕННОЙ ОТВЕТСТВЕННОСТЬЮ "РЕГИОН ГРУПП"</t>
  </si>
  <si>
    <t>9310016952</t>
  </si>
  <si>
    <t>1249300019473</t>
  </si>
  <si>
    <t>ООО "РОЗА ВЕТРОВ"</t>
  </si>
  <si>
    <t>ОБЩЕСТВО С ОГРАНИЧЕННОЙ ОТВЕТСТВЕННОСТЬЮ "РОЗА ВЕТРОВ"</t>
  </si>
  <si>
    <t>9310016896</t>
  </si>
  <si>
    <t>1249300019033</t>
  </si>
  <si>
    <t>ООО "СК "СИРИУС"</t>
  </si>
  <si>
    <t>ОБЩЕСТВО С ОГРАНИЧЕННОЙ ОТВЕТСТВЕННОСТЬЮ "СТРОИТЕЛЬНАЯ КОМПАНИЯ "СИРИУС"</t>
  </si>
  <si>
    <t>9310016864</t>
  </si>
  <si>
    <t>1249300018967</t>
  </si>
  <si>
    <t>287510, ДОНЕЦКАЯ НАРОДНАЯ РЕСПУБЛИКА, МАРИУПОЛЬ, Г. МАРИУПОЛЬ, Г. МАРИУПОЛЬ, УЛ. КРАСНОФЛОТСКАЯ, Д. 194, ПОМЕЩ. 1</t>
  </si>
  <si>
    <t>ООО "ТРЕНД РИТЕЙЛ"</t>
  </si>
  <si>
    <t>ОБЩЕСТВО С ОГРАНИЧЕННОЙ ОТВЕТСТВЕННОСТЬЮ "ТРЕНД РИТЕЙЛ"</t>
  </si>
  <si>
    <t>9310016945</t>
  </si>
  <si>
    <t>1249300019440</t>
  </si>
  <si>
    <t>ООО "ФИРМА "КИРИН"</t>
  </si>
  <si>
    <t>ОБЩЕСТВО С ОГРАНИЧЕННОЙ ОТВЕТСТВЕННОСТЬЮ "ФИРМА "КИРИН"</t>
  </si>
  <si>
    <t>9310016744</t>
  </si>
  <si>
    <t>1249300018516</t>
  </si>
  <si>
    <t>ДОНЕЦКАЯ НАРОДНАЯ РЕСПУБЛИКА, МАРИУПОЛЬ, Г. МАРИУПОЛЬ, Г. МАРИУПОЛЬ, УЛ. ОКТЯБРЬСКАЯ, ЗД. 70</t>
  </si>
  <si>
    <t>ООО "ФЛОРЕНЦИЯ"</t>
  </si>
  <si>
    <t>ОБЩЕСТВО С ОГРАНИЧЕННОЙ ОТВЕТСТВЕННОСТЬЮ "ФЛОРЕНЦИЯ"</t>
  </si>
  <si>
    <t>9310016818</t>
  </si>
  <si>
    <t>1249300018549</t>
  </si>
  <si>
    <t>287501, ДОНЕЦКАЯ НАРОДНАЯ РЕСПУБЛИКА, МАРИУПОЛЬ, Г. МАРИУПОЛЬ, Г. МАРИУПОЛЬ, УЛ. ВАРГАНОВА, Д. 1, ПОМЕЩ. 3</t>
  </si>
  <si>
    <t>ООО "ФРЕШ РИТЕЙЛ"</t>
  </si>
  <si>
    <t>ОБЩЕСТВО С ОГРАНИЧЕННОЙ ОТВЕТСТВЕННОСТЬЮ "ФРЕШ РИТЕЙЛ"</t>
  </si>
  <si>
    <t>9310016938</t>
  </si>
  <si>
    <t>1249300019430</t>
  </si>
  <si>
    <t>ООО "ЧЕРЕМШИНА"</t>
  </si>
  <si>
    <t>ОБЩЕСТВО С ОГРАНИЧЕННОЙ ОТВЕТСТВЕННОСТЬЮ "ЧЕРЕМШИНА"</t>
  </si>
  <si>
    <t>9310016800</t>
  </si>
  <si>
    <t>1249300018648</t>
  </si>
  <si>
    <t>287501, ДОНЕЦКАЯ НАРОДНАЯ РЕСПУБЛИКА, МАРИУПОЛЬ, Г. МАРИУПОЛЬ, Г. МАРИУПОЛЬ, УЛ. ВАРГАНОВА, Д. 4</t>
  </si>
  <si>
    <t>ООО "ПКФ "КОММИТО"</t>
  </si>
  <si>
    <t>ОБЩЕСТВО С ОГРАНИЧЕННОЙ ОТВЕТСТВЕННОСТЬЮ "ПРОИЗВОДСТВЕННО-КОММЕРЧЕСКАЯ ФИРМА "КОММИТО"</t>
  </si>
  <si>
    <t>9310017089</t>
  </si>
  <si>
    <t>1249300019847</t>
  </si>
  <si>
    <t>287513, ДОНЕЦКАЯ НАРОДНАЯ РЕСПУБЛИКА, МАРИУПОЛЬ, Г. МАРИУПОЛЬ, Г. МАРИУПОЛЬ, УЛ. КАРПИНСКОГО, Д. 68</t>
  </si>
  <si>
    <t>АНО "АРМ"</t>
  </si>
  <si>
    <t>АВТОНОМНАЯ НЕКОММЕРЧЕСКАЯ ОРГАНИЗАЦИЯ "АГЕНТСТВО РАЗВИТИЯ МАРИУПОЛЯ"</t>
  </si>
  <si>
    <t>9310017201</t>
  </si>
  <si>
    <t>1249300020265</t>
  </si>
  <si>
    <t>ЖСК "ГИГАНТ"</t>
  </si>
  <si>
    <t>ЖИЛИЩНО-СТРОИТЕЛЬНЫЙ КООПЕРАТИВ "ГИГАНТ"</t>
  </si>
  <si>
    <t>9310017152</t>
  </si>
  <si>
    <t>1249300019980</t>
  </si>
  <si>
    <t>287512, ДОНЕЦКАЯ НАРОДНАЯ РЕСПУБЛИКА, МАРИУПОЛЬ, Г. МАРИУПОЛЬ, Г. МАРИУПОЛЬ, УЛ. 9 АВИАДИВИЗИИ, Д. 14, КВ. 72</t>
  </si>
  <si>
    <t>НАЦИОНАЛЬНЫЙ ДЕПАРТАМЕНТ ЗАЩИТЫ ПРАВ</t>
  </si>
  <si>
    <t>МЕЖРЕГИОНАЛЬНАЯ ОБЩЕСТВЕННАЯ ОРГАНИЗАЦИЯ "НАЦИОНАЛЬНЫЙ ДЕПАРТАМЕНТ ОБЩЕСТВЕННОГО КОНТРОЛЯ И ЗАЩИТЫ ПРАВ ГРАЖДАН"</t>
  </si>
  <si>
    <t>9310017240</t>
  </si>
  <si>
    <t>1249300020452</t>
  </si>
  <si>
    <t>287524, ДОНЕЦКАЯ НАРОДНАЯ РЕСПУБЛИКА, МАРИУПОЛЬ, Г. МАРИУПОЛЬ, Г. МАРИУПОЛЬ, УЛ. СЕЧЕНОВА, Д. 63А, ПОМЕЩ. 84</t>
  </si>
  <si>
    <t>ООО "АЗОВ-ИНЖИНИРИНГ"</t>
  </si>
  <si>
    <t>ОБЩЕСТВО С ОГРАНИЧЕННОЙ ОТВЕТСТВЕННОСТЬЮ "АЗОВ-ИНЖИНИРИНГ"</t>
  </si>
  <si>
    <t>9310017096</t>
  </si>
  <si>
    <t>1249300019858</t>
  </si>
  <si>
    <t>ДОНЕЦКАЯ НАРОДНАЯ РЕСПУБЛИКА, МАРИУПОЛЬ, Г. МАРИУПОЛЬ, Г. МАРИУПОЛЬ, УЛ. АЙВАЗОВСКОГО, Д. 33</t>
  </si>
  <si>
    <t>ООО "АРТЕМКА"</t>
  </si>
  <si>
    <t>ОБЩЕСТВО С ОГРАНИЧЕННОЙ ОТВЕТСТВЕННОСТЬЮ "АРТЕМКА"</t>
  </si>
  <si>
    <t>9310017233</t>
  </si>
  <si>
    <t>1249300020331</t>
  </si>
  <si>
    <t>ДОНЕЦКАЯ НАРОДНАЯ РЕСПУБЛИКА, МАРИУПОЛЬ, Г. МАРИУПОЛЬ, Г. МАРИУПОЛЬ, ПР-КТ МЕТАЛЛУРГОВ, Д. 92А, ПОМЕЩ. 9</t>
  </si>
  <si>
    <t>ООО "БАГАРИО КОМПАНИ"</t>
  </si>
  <si>
    <t>ОБЩЕСТВО С ОГРАНИЧЕННОЙ ОТВЕТСТВЕННОСТЬЮ "БАГАРИО КОМПАНИ"</t>
  </si>
  <si>
    <t>9310017040</t>
  </si>
  <si>
    <t>1249300019737</t>
  </si>
  <si>
    <t>ДОНЕЦКАЯ НАРОДНАЯ РЕСПУБЛИКА, МАРИУПОЛЬ, Г. МАРИУПОЛЬ, Г. МАРИУПОЛЬ, УЛ. ГРЕЧЕСКАЯ, Д. 230, ОФИС 1</t>
  </si>
  <si>
    <t>ООО "ВТОРСЕРВИС"</t>
  </si>
  <si>
    <t>ОБЩЕСТВО С ОГРАНИЧЕННОЙ ОТВЕТСТВЕННОСТЬЮ "ВТОРСЕРВИС"</t>
  </si>
  <si>
    <t>9310017025</t>
  </si>
  <si>
    <t>1249300019638</t>
  </si>
  <si>
    <t>ДОНЕЦКАЯ НАРОДНАЯ РЕСПУБЛИКА, МАРИУПОЛЬ, Г. МАРИУПОЛЬ, Г. МАРИУПОЛЬ, УЛ. ГРЕБЕЛЬНАЯ, Д. 100А</t>
  </si>
  <si>
    <t>ООО "ДАН ГРУПП"</t>
  </si>
  <si>
    <t>ОБЩЕСТВО С ОГРАНИЧЕННОЙ ОТВЕТСТВЕННОСТЬЮ "ДАН ГРУПП"</t>
  </si>
  <si>
    <t>9310017177</t>
  </si>
  <si>
    <t>1249300020199</t>
  </si>
  <si>
    <t>ДОНЕЦКАЯ НАРОДНАЯ РЕСПУБЛИКА, МАРИУПОЛЬ, Г. МАРИУПОЛЬ, Г. МАРИУПОЛЬ, УЛ. 7 ПРОЕЗД, Д. 8</t>
  </si>
  <si>
    <t>ООО "ДОНПРОДУКТ"</t>
  </si>
  <si>
    <t>ОБЩЕСТВО С ОГРАНИЧЕННОЙ ОТВЕТСТВЕННОСТЬЮ "ДОНПРОДУКТ"</t>
  </si>
  <si>
    <t>9310017113</t>
  </si>
  <si>
    <t>1249300019946</t>
  </si>
  <si>
    <t>ДОНЕЦКАЯ НАРОДНАЯ РЕСПУБЛИКА, МАРИУПОЛЬ, Г. МАРИУПОЛЬ, Г. МАРИУПОЛЬ, УЛ. ПАРКОВАЯ, Д. 51</t>
  </si>
  <si>
    <t>ООО "ДРЁМА"</t>
  </si>
  <si>
    <t>ОБЩЕСТВО С ОГРАНИЧЕННОЙ ОТВЕТСТВЕННОСТЬЮ "ДРЁМА"</t>
  </si>
  <si>
    <t>9310017145</t>
  </si>
  <si>
    <t>1249300019968</t>
  </si>
  <si>
    <t>ДОНЕЦКАЯ НАРОДНАЯ РЕСПУБЛИКА, МАРИУПОЛЬ, Г. МАРИУПОЛЬ, Г. МАРИУПОЛЬ, УЛ. КАЛЬМИУССКАЯ, Д. 56</t>
  </si>
  <si>
    <t>ООО "ЖДАНОВ"</t>
  </si>
  <si>
    <t>ОБЩЕСТВО С ОГРАНИЧЕННОЙ ОТВЕТСТВЕННОСТЬЮ "ЖДАНОВ"</t>
  </si>
  <si>
    <t>9310017064</t>
  </si>
  <si>
    <t>1249300019825</t>
  </si>
  <si>
    <t>ООО "ЗОДЧИЙ"</t>
  </si>
  <si>
    <t>ОБЩЕСТВО С ОГРАНИЧЕННОЙ ОТВЕТСТВЕННОСТЬЮ "ЗОДЧИЙ"</t>
  </si>
  <si>
    <t>9310017226</t>
  </si>
  <si>
    <t>1249300020188</t>
  </si>
  <si>
    <t>ДОНЕЦКАЯ НАРОДНАЯ РЕСПУБЛИКА, МАРИУПОЛЬ, Г. МАРИУПОЛЬ, Г. МАРИУПОЛЬ, УЛ. ЭНГЕЛЬСА, Д. 26/2, ПОМЕЩ. 20</t>
  </si>
  <si>
    <t>ООО "ИГРОГРАД"</t>
  </si>
  <si>
    <t>ОБЩЕСТВО С ОГРАНИЧЕННОЙ ОТВЕТСТВЕННОСТЬЮ "ИГРОГРАД"</t>
  </si>
  <si>
    <t>9310017018</t>
  </si>
  <si>
    <t>1249300019583</t>
  </si>
  <si>
    <t>ООО "ЗДОРОВЫЙ ГОРОД"</t>
  </si>
  <si>
    <t>ОБЩЕСТВО С ОГРАНИЧЕННОЙ ОТВЕТСТВЕННОСТЬЮ "ЗДОРОВЫЙ ГОРОД"</t>
  </si>
  <si>
    <t>9310017258</t>
  </si>
  <si>
    <t>1249300020507</t>
  </si>
  <si>
    <t>287501, ДОНЕЦКАЯ НАРОДНАЯ РЕСПУБЛИКА, МАРИУПОЛЬ, Г. МАРИУПОЛЬ, Г. МАРИУПОЛЬ, ПР-КТ ЛЕНИНА, Д. 82, ПОМЕЩ. 41</t>
  </si>
  <si>
    <t>ООО "ЛИЛИЯ"</t>
  </si>
  <si>
    <t>ОБЩЕСТВО С ОГРАНИЧЕННОЙ ОТВЕТСТВЕННОСТЬЮ "ЛИЛИЯ"</t>
  </si>
  <si>
    <t>9310016991</t>
  </si>
  <si>
    <t>1249300019550</t>
  </si>
  <si>
    <t>ООО "ЛЯ-ТУТ"</t>
  </si>
  <si>
    <t>ОБЩЕСТВО С ОГРАНИЧЕННОЙ ОТВЕТСТВЕННОСТЬЮ "ЛЯ-ТУТ"</t>
  </si>
  <si>
    <t>9310017321</t>
  </si>
  <si>
    <t>1249300020881</t>
  </si>
  <si>
    <t>ДОНЕЦКАЯ НАРОДНАЯ РЕСПУБЛИКА, МАРИУПОЛЬ, Г. МАРИУПОЛЬ, Г. МАРИУПОЛЬ, УЛ. БОРОДИНА, Д. 26, КВ. 2</t>
  </si>
  <si>
    <t>ООО "МОЛОДОСТЬ"</t>
  </si>
  <si>
    <t>ОБЩЕСТВО С ОГРАНИЧЕННОЙ ОТВЕТСТВЕННОСТЬЮ "МОЛОДОСТЬ"</t>
  </si>
  <si>
    <t>9310017071</t>
  </si>
  <si>
    <t>1249300019836</t>
  </si>
  <si>
    <t>ДОНЕЦКАЯ НАРОДНАЯ РЕСПУБЛИКА, МАРИУПОЛЬ, Г. МАРИУПОЛЬ, Г. МАРИУПОЛЬ, Б-Р 50 ЛЕТ ОКТЯБРЯ, Д. 25</t>
  </si>
  <si>
    <t>ООО "ПАРМЕЗАН"</t>
  </si>
  <si>
    <t>ОБЩЕСТВО С ОГРАНИЧЕННОЙ ОТВЕТСТВЕННОСТЬЮ "ПАРМЕЗАН"</t>
  </si>
  <si>
    <t>9310017280</t>
  </si>
  <si>
    <t>1249300020782</t>
  </si>
  <si>
    <t>287526, ДОНЕЦКАЯ НАРОДНАЯ РЕСПУБЛИКА, МАРИУПОЛЬ, Г. МАРИУПОЛЬ, Г. МАРИУПОЛЬ, ПР-КТ ПОБЕДЫ, Д. 119, КВ. 72</t>
  </si>
  <si>
    <t>ООО "ПЕРСОНА"</t>
  </si>
  <si>
    <t>ОБЩЕСТВО С ОГРАНИЧЕННОЙ ОТВЕТСТВЕННОСТЬЮ "ПЕРСОНА"</t>
  </si>
  <si>
    <t>9310017272</t>
  </si>
  <si>
    <t>1249300020661</t>
  </si>
  <si>
    <t>ДОНЕЦКАЯ НАРОДНАЯ РЕСПУБЛИКА, МАРИУПОЛЬ, Г. МАРИУПОЛЬ, Г. МАРИУПОЛЬ, ПР-КТ ТУЛЬСКИЙ, Д. 30, КВ. 13</t>
  </si>
  <si>
    <t>ООО "СОН"</t>
  </si>
  <si>
    <t>ОБЩЕСТВО С ОГРАНИЧЕННОЙ ОТВЕТСТВЕННОСТЬЮ "СОН"</t>
  </si>
  <si>
    <t>9310017032</t>
  </si>
  <si>
    <t>1249300019726</t>
  </si>
  <si>
    <t>ООО "ТОПАЗ"</t>
  </si>
  <si>
    <t>ОБЩЕСТВО С ОГРАНИЧЕННОЙ ОТВЕТСТВЕННОСТЬЮ "ТОПАЗ"</t>
  </si>
  <si>
    <t>9310017138</t>
  </si>
  <si>
    <t>1249300019935</t>
  </si>
  <si>
    <t>287512, ДОНЕЦКАЯ НАРОДНАЯ РЕСПУБЛИКА, МАРИУПОЛЬ, Г. МАРИУПОЛЬ, Г. МАРИУПОЛЬ, УЛ. 50 ЛЕТ СССР, Д. 20, ПОМЕЩ. 73</t>
  </si>
  <si>
    <t>ООО "ФАНТАЗИЯ "</t>
  </si>
  <si>
    <t>ОБЩЕСТВО С ОГРАНИЧЕННОЙ ОТВЕТСТВЕННОСТЬЮ "ФАНТАЗИЯ "</t>
  </si>
  <si>
    <t>9310017184</t>
  </si>
  <si>
    <t>1249300020166</t>
  </si>
  <si>
    <t>ДОНЕЦКАЯ НАРОДНАЯ РЕСПУБЛИКА, МАРИУПОЛЬ, Г. МАРИУПОЛЬ, Г. МАРИУПОЛЬ, УЛ. ПОЛЯРНАЯ, Д. 13</t>
  </si>
  <si>
    <t>ООО "ФИРМА БМВ"</t>
  </si>
  <si>
    <t>ОБЩЕСТВО С ОГРАНИЧЕННОЙ ОТВЕТСТВЕННОСТЬЮ "ФИРМА БМВ"</t>
  </si>
  <si>
    <t>9310017191</t>
  </si>
  <si>
    <t>1249300020232</t>
  </si>
  <si>
    <t>287513, ДОНЕЦКАЯ НАРОДНАЯ РЕСПУБЛИКА, МАРИУПОЛЬ, Г. МАРИУПОЛЬ, Г. МАРИУПОЛЬ, КВ-Л 25, Д. 2, ПОМЕЩ. 36</t>
  </si>
  <si>
    <t>ООО "ФРОНТОЗА"</t>
  </si>
  <si>
    <t>ОБЩЕСТВО С ОГРАНИЧЕННОЙ ОТВЕТСТВЕННОСТЬЮ "ФРОНТОЗА"</t>
  </si>
  <si>
    <t>9310017160</t>
  </si>
  <si>
    <t>1249300019990</t>
  </si>
  <si>
    <t>ДОНЕЦКАЯ НАРОДНАЯ РЕСПУБЛИКА, МАРИУПОЛЬ, Г. МАРИУПОЛЬ, Г. МАРИУПОЛЬ, УЛ. КУПРИНА, Д. 36А</t>
  </si>
  <si>
    <t>ООО "ЦЕНТР УЛЫБКИ И ЗДОРОВЬЯ"</t>
  </si>
  <si>
    <t>ОБЩЕСТВО С ОГРАНИЧЕННОЙ ОТВЕТСТВЕННОСТЬЮ "ЦЕНТР УЛЫБКИ И ЗДОРОВЬЯ"</t>
  </si>
  <si>
    <t>9310017265</t>
  </si>
  <si>
    <t>1249300020551</t>
  </si>
  <si>
    <t>287549, ДОНЕЦКАЯ НАРОДНАЯ РЕСПУБЛИКА, МАРИУПОЛЬ, Г. МАРИУПОЛЬ, Г. МАРИУПОЛЬ, ПР-КТ МЕТАЛЛУРГОВ, Д. 84Б, ПОМЕЩ. 1</t>
  </si>
  <si>
    <t>ТСЖ "ЖОВТНЕВЫЙ-2006"</t>
  </si>
  <si>
    <t>ТОВАРИЩЕСТВО СОБСТВЕННИКОВ ЖИЛЬЯ "ЖОВТНЕВЫЙ-2006"</t>
  </si>
  <si>
    <t>9310017314</t>
  </si>
  <si>
    <t>1249300020859</t>
  </si>
  <si>
    <t>287512, ДОНЕЦКАЯ НАРОДНАЯ РЕСПУБЛИКА, МАРИУПОЛЬ, Г. МАРИУПОЛЬ, Г. МАРИУПОЛЬ, УЛ. 60 ЛЕТ СССР, Д. 5, КВ. 58</t>
  </si>
  <si>
    <t>ТСЖ "МИРА-75Б"</t>
  </si>
  <si>
    <t>ТОВАРИЩЕСТВО СОБСТВЕННИКОВ ЖИЛЬЯ "МИРА-75Б"</t>
  </si>
  <si>
    <t>9310014218</t>
  </si>
  <si>
    <t>1249300010266</t>
  </si>
  <si>
    <t>287501, ДОНЕЦКАЯ НАРОДНАЯ РЕСПУБЛИКА, МАРИУПОЛЬ, Г. МАРИУПОЛЬ, Г. МАРИУПОЛЬ, УЛ. ЭНГЕЛЬСА, Д. 1, КВ. 15</t>
  </si>
  <si>
    <t>ООО "АЗОВ-ЭКСПЕРТ"</t>
  </si>
  <si>
    <t>ОБЩЕСТВО С ОГРАНИЧЕННОЙ ОТВЕТСТВЕННОСТЬЮ "АЗОВ-ЭКСПЕРТ"</t>
  </si>
  <si>
    <t>9310017459</t>
  </si>
  <si>
    <t>1259300000178</t>
  </si>
  <si>
    <t>ООО "АЗОВЧАНДЛЕР СЕРВИС"</t>
  </si>
  <si>
    <t>ОБЩЕСТВО С ОГРАНИЧЕННОЙ ОТВЕТСТВЕННОСТЬЮ "АЗОВЧАНДЛЕР СЕРВИС"</t>
  </si>
  <si>
    <t>9310017346</t>
  </si>
  <si>
    <t>1249300021112</t>
  </si>
  <si>
    <t>ДОНЕЦКАЯ НАРОДНАЯ РЕСПУБЛИКА, МАРИУПОЛЬ, Г. МАРИУПОЛЬ, Г. МАРИУПОЛЬ, ПР-КТ ЛУНИНА, Д. 23, КВ. 14</t>
  </si>
  <si>
    <t>ООО "АРТ ЛАЙФ"</t>
  </si>
  <si>
    <t>ОБЩЕСТВО С ОГРАНИЧЕННОЙ ОТВЕТСТВЕННОСТЬЮ "АРТ ЛАЙФ"</t>
  </si>
  <si>
    <t>9310017635</t>
  </si>
  <si>
    <t>1259300000816</t>
  </si>
  <si>
    <t>ДОНЕЦКАЯ НАРОДНАЯ РЕСПУБЛИКА, МАРИУПОЛЬ, Г. МАРИУПОЛЬ, Г. МАРИУПОЛЬ, ПР-КТ СТРОИТЕЛЕЙ, Д. 136А, ПОМЕЩ. 9</t>
  </si>
  <si>
    <t>9310017603</t>
  </si>
  <si>
    <t>1259300000618</t>
  </si>
  <si>
    <t>ДОНЕЦКАЯ НАРОДНАЯ РЕСПУБЛИКА, МАРИУПОЛЬ, Г. МАРИУПОЛЬ, Г. МАРИУПОЛЬ, УЛ. АПАТОВА, Д. 139</t>
  </si>
  <si>
    <t>ООО "БИНЯПИ"</t>
  </si>
  <si>
    <t>ОБЩЕСТВО С ОГРАНИЧЕННОЙ ОТВЕТСТВЕННОСТЬЮ "БИНЯПИ"</t>
  </si>
  <si>
    <t>9310017642</t>
  </si>
  <si>
    <t>1259300000827</t>
  </si>
  <si>
    <t>ДОНЕЦКАЯ НАРОДНАЯ РЕСПУБЛИКА, МАРИУПОЛЬ, Г. МАРИУПОЛЬ, Г. МАРИУПОЛЬ, ПР-КТ МЕТАЛЛУРГОВ, Д. 87А, ПОМЕЩ. 4</t>
  </si>
  <si>
    <t>ООО "ГЕЛИЙ"</t>
  </si>
  <si>
    <t>ОБЩЕСТВО С ОГРАНИЧЕННОЙ ОТВЕТСТВЕННОСТЬЮ "ГЕЛИЙ"</t>
  </si>
  <si>
    <t>9310017480</t>
  </si>
  <si>
    <t>1259300000222</t>
  </si>
  <si>
    <t>ООО "ДМГ-НТ"</t>
  </si>
  <si>
    <t>ОБЩЕСТВО С ОГРАНИЧЕННОЙ ОТВЕТСТВЕННОСТЬЮ "ДМГ-НОВЫЕ ТЕРРИТОРИИ"</t>
  </si>
  <si>
    <t>9310014240</t>
  </si>
  <si>
    <t>1249300010387</t>
  </si>
  <si>
    <t>ДОНЕЦКАЯ НАРОДНАЯ РЕСПУБЛИКА, МАРИУПОЛЬ, Г. МАРИУПОЛЬ, Г. МАРИУПОЛЬ, УЛ. МИТРОПОЛИТСКАЯ, Д. 51, ПОМЕЩ. 29</t>
  </si>
  <si>
    <t>ООО "М-СТРОЙ АЛЬЯНС"</t>
  </si>
  <si>
    <t>ОБЩЕСТВО С ОГРАНИЧЕННОЙ ОТВЕТСТВЕННОСТЬЮ "М-СТРОЙ АЛЬЯНС"</t>
  </si>
  <si>
    <t>9310014232</t>
  </si>
  <si>
    <t>1249300010376</t>
  </si>
  <si>
    <t>603041, ДОНЕЦКАЯ НАРОДНАЯ РЕСПУБЛИКА, МАРИУПОЛЬ, Г. МАРИУПОЛЬ, Г. МАРИУПОЛЬ, ПР-КТ ИЛЬИЧА, Д. 63</t>
  </si>
  <si>
    <t>ООО "НОВА"</t>
  </si>
  <si>
    <t>ОБЩЕСТВО С ОГРАНИЧЕННОЙ ОТВЕТСТВЕННОСТЬЮ "НОВА"</t>
  </si>
  <si>
    <t>9310017593</t>
  </si>
  <si>
    <t>1259300000596</t>
  </si>
  <si>
    <t>ДОНЕЦКАЯ НАРОДНАЯ РЕСПУБЛИКА, МАРИУПОЛЬ, Г. МАРИУПОЛЬ, Г. МАРИУПОЛЬ, ПР-КТ СТРОИТЕЛЕЙ, Д. 136А, ПОМЕЩ. 6</t>
  </si>
  <si>
    <t>ООО "НОТ"</t>
  </si>
  <si>
    <t>ОБЩЕСТВО С ОГРАНИЧЕННОЙ ОТВЕТСТВЕННОСТЬЮ "НОТ"</t>
  </si>
  <si>
    <t>9310017434</t>
  </si>
  <si>
    <t>1259300000123</t>
  </si>
  <si>
    <t>ДОНЕЦКАЯ НАРОДНАЯ РЕСПУБЛИКА, МАРИУПОЛЬ, Г. МАРИУПОЛЬ, Г. МАРИУПОЛЬ, ПР-КТ ИЛЬИЧА, Д. 122А</t>
  </si>
  <si>
    <t>ООО "ПОЖСПЕЦМОНТАЖ"</t>
  </si>
  <si>
    <t>ОБЩЕСТВО С ОГРАНИЧЕННОЙ ОТВЕТСТВЕННОСТЬЮ "ПОЖСПЕЦМОНТАЖ"</t>
  </si>
  <si>
    <t>9310017554</t>
  </si>
  <si>
    <t>1259300000475</t>
  </si>
  <si>
    <t>ДОНЕЦКАЯ НАРОДНАЯ РЕСПУБЛИКА, МАРИУПОЛЬ, Г. МАРИУПОЛЬ, Г. МАРИУПОЛЬ, УЛ. ЭНГЕЛЬСА, Д. 60, ПОМЕЩ. 104</t>
  </si>
  <si>
    <t>ООО "РСК-1"</t>
  </si>
  <si>
    <t>ОБЩЕСТВО С ОГРАНИЧЕННОЙ ОТВЕТСТВЕННОСТЬЮ "РСК-1"</t>
  </si>
  <si>
    <t>9310017579</t>
  </si>
  <si>
    <t>1259300000520</t>
  </si>
  <si>
    <t>ДОНЕЦКАЯ НАРОДНАЯ РЕСПУБЛИКА, МАРИУПОЛЬ, Г. МАРИУПОЛЬ, Г. МАРИУПОЛЬ, Ш. ВОЛОДАРСКОЕ, Д. 9, ОФИС 13</t>
  </si>
  <si>
    <t>ООО "РУССКИЙ МЕТАНОЛ"</t>
  </si>
  <si>
    <t>ОБЩЕСТВО С ОГРАНИЧЕННОЙ ОТВЕТСТВЕННОСТЬЮ "РУССКИЙ МЕТАНОЛ"</t>
  </si>
  <si>
    <t>9310017522</t>
  </si>
  <si>
    <t>1259300000442</t>
  </si>
  <si>
    <t>287512, ДОНЕЦКАЯ НАРОДНАЯ РЕСПУБЛИКА, МАРИУПОЛЬ, Г. МАРИУПОЛЬ, Г. МАРИУПОЛЬ, Ш. ВОЛОДАРСКОЕ, Д. 1, ПОМЕЩ. 10</t>
  </si>
  <si>
    <t>ООО "СВ СТРОЙ +"</t>
  </si>
  <si>
    <t>ОБЩЕСТВО С ОГРАНИЧЕННОЙ ОТВЕТСТВЕННОСТЬЮ "СВ СТРОЙ +"</t>
  </si>
  <si>
    <t>9310017586</t>
  </si>
  <si>
    <t>1259300000552</t>
  </si>
  <si>
    <t>ДОНЕЦКАЯ НАРОДНАЯ РЕСПУБЛИКА, МАРИУПОЛЬ, Г. МАРИУПОЛЬ, Г. МАРИУПОЛЬ, УЛ. ПИОНЕРА БАЛАБУХИ, Д. 8</t>
  </si>
  <si>
    <t>ООО "СК НОВЫЙ РЕГИОН"</t>
  </si>
  <si>
    <t>ОБЩЕСТВО С ОГРАНИЧЕННОЙ ОТВЕТСТВЕННОСТЬЮ "СК НОВЫЙ РЕГИОН"</t>
  </si>
  <si>
    <t>9310014296</t>
  </si>
  <si>
    <t>1249300010508</t>
  </si>
  <si>
    <t>ООО "СЛ ГРУПП"</t>
  </si>
  <si>
    <t>ОБЩЕСТВО С ОГРАНИЧЕННОЙ ОТВЕТСТВЕННОСТЬЮ "СЛ ГРУПП"</t>
  </si>
  <si>
    <t>9310017628</t>
  </si>
  <si>
    <t>1259300000717</t>
  </si>
  <si>
    <t>287549, ДОНЕЦКАЯ НАРОДНАЯ РЕСПУБЛИКА, МАРИУПОЛЬ, Г. МАРИУПОЛЬ, Г. МАРИУПОЛЬ, ПР-КТ СТРОИТЕЛЕЙ, Д. 132, ОФИС 15</t>
  </si>
  <si>
    <t>ООО "СЗ "КОРПОРАЦИЯ СМУ-5"</t>
  </si>
  <si>
    <t>ОБЩЕСТВО С ОГРАНИЧЕННОЙ ОТВЕТСТВЕННОСТЬЮ "СПЕЦИАЛИЗИРОВАННЫЙ ЗАСТРОЙЩИК "КОРПОРАЦИЯ СМУ-5"</t>
  </si>
  <si>
    <t>9310017508</t>
  </si>
  <si>
    <t>1259300000299</t>
  </si>
  <si>
    <t>287554, ДОНЕЦКАЯ НАРОДНАЯ РЕСПУБЛИКА, МАРИУПОЛЬ, Г. МАРИУПОЛЬ, Г. МАРИУПОЛЬ, УЛ. ТОПОЛИНАЯ, Д. 2А, ОФИС 21</t>
  </si>
  <si>
    <t>ООО "ССК ФЕНИКС"</t>
  </si>
  <si>
    <t>ОБЩЕСТВО С ОГРАНИЧЕННОЙ ОТВЕТСТВЕННОСТЬЮ "СПЕЦИАЛЬНАЯ СТРОИТЕЛЬНАЯ КОМПАНИЯ ФЕНИКС"</t>
  </si>
  <si>
    <t>9310017473</t>
  </si>
  <si>
    <t>1259300000190</t>
  </si>
  <si>
    <t>287501, ДОНЕЦКАЯ НАРОДНАЯ РЕСПУБЛИКА, МАРИУПОЛЬ, Г. МАРИУПОЛЬ, Г. МАРИУПОЛЬ, ПР-КТ МЕТАЛЛУРГОВ, Д. 58, ПОМЕЩ. 6</t>
  </si>
  <si>
    <t>ООО "ФАРТ"</t>
  </si>
  <si>
    <t>ОБЩЕСТВО С ОГРАНИЧЕННОЙ ОТВЕТСТВЕННОСТЬЮ "ФАРТ"</t>
  </si>
  <si>
    <t>9310014264</t>
  </si>
  <si>
    <t>1249300010431</t>
  </si>
  <si>
    <t>ООО "ФОРТЭ"</t>
  </si>
  <si>
    <t>ОБЩЕСТВО С ОГРАНИЧЕННОЙ ОТВЕТСТВЕННОСТЬЮ "ФОРТЭ"</t>
  </si>
  <si>
    <t>9310014225</t>
  </si>
  <si>
    <t>1249300010321</t>
  </si>
  <si>
    <t>287504, ДОНЕЦКАЯ НАРОДНАЯ РЕСПУБЛИКА, МАРИУПОЛЬ, Г. МАРИУПОЛЬ, Г. МАРИУПОЛЬ, УЛ. ВУЗОВСКАЯ, Д. 3, КВ. 47</t>
  </si>
  <si>
    <t>ООО "ЧИСТОТА В ДЕТАЛЯХ"</t>
  </si>
  <si>
    <t>ОБЩЕСТВО С ОГРАНИЧЕННОЙ ОТВЕТСТВЕННОСТЬЮ "ЧИСТОТА В ДЕТАЛЯХ"</t>
  </si>
  <si>
    <t>9310017530</t>
  </si>
  <si>
    <t>1259300000420</t>
  </si>
  <si>
    <t>ООО "ЭРД"</t>
  </si>
  <si>
    <t>ОБЩЕСТВО С ОГРАНИЧЕННОЙ ОТВЕТСТВЕННОСТЬЮ "ЭФФЕКТИВНЫЕ РЕШЕНИЯ ДОНБАСС"</t>
  </si>
  <si>
    <t>9310014257</t>
  </si>
  <si>
    <t>1249300010398</t>
  </si>
  <si>
    <t>ДОНЕЦКАЯ НАРОДНАЯ РЕСПУБЛИКА, МАРИУПОЛЬ, Г. МАРИУПОЛЬ, Г. МАРИУПОЛЬ, УЛ. ИТАЛЬЯНСКАЯ, Д. 53</t>
  </si>
  <si>
    <t>ООО "ЮНИЗПРО"</t>
  </si>
  <si>
    <t>ОБЩЕСТВО С ОГРАНИЧЕННОЙ ОТВЕТСТВЕННОСТЬЮ "ЮНИЗПРО"</t>
  </si>
  <si>
    <t>9310017441</t>
  </si>
  <si>
    <t>1259300000156</t>
  </si>
  <si>
    <t>287501, ДОНЕЦКАЯ НАРОДНАЯ РЕСПУБЛИКА, МАРИУПОЛЬ, Г. МАРИУПОЛЬ, Г. МАРИУПОЛЬ, ПР-КТ МЕТАЛЛУРГОВ, Д. 58, ПОМЕЩ. 25</t>
  </si>
  <si>
    <t>ППО ММЦ ФГБУЗ ЮОМЦ ФМБА РОССИИ ПРОФСОЮЗА РАБОТНИКОВ ЗДРАВООХРАНЕНИЯ РФ</t>
  </si>
  <si>
    <t>ПЕРВИЧНАЯ ПРОФСОЮЗНАЯ ОРГАНИЗАЦИЯ ГОСУДАРСТВЕННОГО БЮДЖЕТНОГО УЧРЕЖДЕНИЯ "МНОГОПРОФИЛЬНЫЙ МЕДИЦИНСКИЙ ЦЕНТР" ФЕДЕРАЛЬНОГО ГОСУДАРСТВЕННОГО БЮДЖЕТНОГО УЧРЕЖДЕНИЯ ЗДРАВООХРАНЕНИЯ "ЮЖНЫЙ ОКРУЖНОЙ МЕДИЦИНСКИЙ ЦЕНТР ФЕДЕРАЛЬНОГО МЕДИКО-БИОЛОГИЧЕСКОГО АГЕНТСТВА" ПРОФЕССИОНАЛЬНОГО СОЮЗА РАБОТНИКОВ ЗДРАВООХРАНЕНИЯ РОССИЙСКОЙ ФЕДЕРАЦИИ</t>
  </si>
  <si>
    <t>9310017353</t>
  </si>
  <si>
    <t>1249300021134</t>
  </si>
  <si>
    <t>ДОНЕЦКАЯ НАРОДНАЯ РЕСПУБЛИКА, МАРИУПОЛЬ, Г. МАРИУПОЛЬ, Г. МАРИУПОЛЬ, ПР-КТ ЛЕНИНА, Д. 189, К. 1</t>
  </si>
  <si>
    <t>РОО "ФПС ДНР"</t>
  </si>
  <si>
    <t>РЕГИОНАЛЬНАЯ ОБЩЕСТВЕННАЯ ОРГАНИЗАЦИЯ "ФЕДЕРАЦИЯ ПАРУСНОГО СПОРТА ДОНЕЦКОЙ НАРОДНОЙ РЕСПУБЛИКИ"</t>
  </si>
  <si>
    <t>9310017515</t>
  </si>
  <si>
    <t>1259300000310</t>
  </si>
  <si>
    <t>СНТ "МОРЯК"</t>
  </si>
  <si>
    <t>САДОВОДЧЕСКОЕ НЕКОММЕРЧЕСКОЕ ТОВАРИЩЕСТВО "МОРЯК"</t>
  </si>
  <si>
    <t>9310017547</t>
  </si>
  <si>
    <t>1259300000464</t>
  </si>
  <si>
    <t>ДОНЕЦКАЯ НАРОДНАЯ РЕСПУБЛИКА, МАРИУПОЛЬ, Г. МАРИУПОЛЬ, Г. МАРИУПОЛЬ, УЛ. АРАЛЬСКАЯ, Д. 32</t>
  </si>
  <si>
    <t>ООО "АГОРА ТРЕЙД"</t>
  </si>
  <si>
    <t>ОБЩЕСТВО С ОГРАНИЧЕННОЙ ОТВЕТСТВЕННОСТЬЮ "АГОРА ТРЕЙД"</t>
  </si>
  <si>
    <t>9310003505</t>
  </si>
  <si>
    <t>1229300138275</t>
  </si>
  <si>
    <t>МБУК "КАЛИНОВСКИЙ ПК" Г. МАРИУПОЛЯ</t>
  </si>
  <si>
    <t>МУНИЦИПАЛЬНОЕ БЮДЖЕТНОЕ УЧРЕЖДЕНИЕ КУЛЬТУРЫ "КАЛИНОВСКИЙ ПОСЕЛКОВЫЙ КЛУБ" АДМИНИСТРАЦИИ ГОРОДА МАРИУПОЛЯ</t>
  </si>
  <si>
    <t>9306003196</t>
  </si>
  <si>
    <t>1229300141400</t>
  </si>
  <si>
    <t>ДОНЕЦКАЯ НАРОДНАЯ РЕСПУБЛИКА, МАРИУПОЛЬ, Г. МАРИУПОЛЬ, П. КАЛИНОВКА, УЛ. ПОДГОРНАЯ, Д. 175А</t>
  </si>
  <si>
    <t>СНТ "КАЛИНКА"</t>
  </si>
  <si>
    <t>САДОВОДЧЕСКОЕ НЕКОММЕРЧЕСКОЕ ТОВАРИЩЕСТВО "КАЛИНКА"</t>
  </si>
  <si>
    <t>9310008310</t>
  </si>
  <si>
    <t>1239300006351</t>
  </si>
  <si>
    <t>ДОНЕЦКАЯ НАРОДНАЯ РЕСПУБЛИКА, МАРИУПОЛЬ, Г. МАРИУПОЛЬ, П. КАЛИНОВКА, УЛ. ПОДГОРНАЯ, Д. 13</t>
  </si>
  <si>
    <t>СНТ "МАГНОЛИЯ"</t>
  </si>
  <si>
    <t>САДОВОДЧЕСКОЕ НЕКОММЕРЧЕСКОЕ ТОВАРИЩЕСТВО "МАГНОЛИЯ"</t>
  </si>
  <si>
    <t>9310008327</t>
  </si>
  <si>
    <t>1239300006362</t>
  </si>
  <si>
    <t>ДОНЕЦКАЯ НАРОДНАЯ РЕСПУБЛИКА, МАРИУПОЛЬ, Г. МАРИУПОЛЬ, П. КАЛИНОВКА, УЛ. ЛЕРМОНТОВА, Д. 37</t>
  </si>
  <si>
    <t>СНТ "РОСИНКА"</t>
  </si>
  <si>
    <t>САДОВОДЧЕСКОЕ НЕКОММЕРЧЕСКОЕ ТОВАРИЩЕСТВО "РОСИНКА"</t>
  </si>
  <si>
    <t>9310008461</t>
  </si>
  <si>
    <t>1239300006703</t>
  </si>
  <si>
    <t>ДОНЕЦКАЯ НАРОДНАЯ РЕСПУБЛИКА, МАРИУПОЛЬ, Г. МАРИУПОЛЬ, С. ГНУТОВО, УЛ. КИРОВА, Д. 23</t>
  </si>
  <si>
    <t>СНТ "ДАЧНИК"</t>
  </si>
  <si>
    <t>САДОВОДЧЕСКОЕ НЕКОММЕРЧЕСКОЕ ТОВАРИЩЕСТВО "ДАЧНИК"</t>
  </si>
  <si>
    <t>9310009137</t>
  </si>
  <si>
    <t>1239300008463</t>
  </si>
  <si>
    <t>ДОНЕЦКАЯ НАРОДНАЯ РЕСПУБЛИКА, МАРИУПОЛЬ, Г. МАРИУПОЛЬ, П. КАЛИНОВКА, УЛ. ПОДГОРНАЯ, Д. 133</t>
  </si>
  <si>
    <t>ООО "АЛНИН"</t>
  </si>
  <si>
    <t>ОБЩЕСТВО С ОГРАНИЧЕННОЙ ОТВЕТСТВЕННОСТЬЮ "АЛНИН"</t>
  </si>
  <si>
    <t>9310009715</t>
  </si>
  <si>
    <t>1239300010091</t>
  </si>
  <si>
    <t>ДОНЕЦКАЯ НАРОДНАЯ РЕСПУБЛИКА, МАРИУПОЛЬ, Г. МАРИУПОЛЬ, ПГТ. САРТАНА, УЛ. ЧЕЛЮСКИНЦЕВ, Д. 43, ПОМЕЩ. 1</t>
  </si>
  <si>
    <t>ООО "ОЛЕСЯ"</t>
  </si>
  <si>
    <t>ОБЩЕСТВО С ОГРАНИЧЕННОЙ ОТВЕТСТВЕННОСТЬЮ "ОЛЕСЯ"</t>
  </si>
  <si>
    <t>9310012041</t>
  </si>
  <si>
    <t>1249300001950</t>
  </si>
  <si>
    <t>ДОНЕЦКАЯ НАРОДНАЯ РЕСПУБЛИКА, МАРИУПОЛЬ, Г. МАРИУПОЛЬ, П. КАЛИНОВКА, УЛ. ПОДГОРНАЯ, Д. 132</t>
  </si>
  <si>
    <t>ООО "ВАСИЛИСА"</t>
  </si>
  <si>
    <t>ОБЩЕСТВО С ОГРАНИЧЕННОЙ ОТВЕТСТВЕННОСТЬЮ "ВАСИЛИСА"</t>
  </si>
  <si>
    <t>9310015902</t>
  </si>
  <si>
    <t>1249300015557</t>
  </si>
  <si>
    <t>ДОНЕЦКАЯ НАРОДНАЯ РЕСПУБЛИКА, ГОРОДСКОЙ ОКРУГ МАРИУПОЛЬ, Г. МАРИУПОЛЬ, УЛ. МАМИНА-СИБИРЯКА, Д. 39Б</t>
  </si>
  <si>
    <t>ООО "ДНР-ПОЛИМЕР"</t>
  </si>
  <si>
    <t>ОБЩЕСТВО С ОГРАНИЧЕННОЙ ОТВЕТСТВЕННОСТЬЮ "ДНР-ПОЛИМЕР"</t>
  </si>
  <si>
    <t>9310015934</t>
  </si>
  <si>
    <t>1249300015634</t>
  </si>
  <si>
    <t>287501, ДОНЕЦКАЯ НАРОДНАЯ РЕСПУБЛИКА, ГОРОДСКОЙ ОКРУГ МАРИУПОЛЬ, Г. МАРИУПОЛЬ, ПР-КТ ЛЕНИНА, Д. 63/2, ПОМЕЩ. 1</t>
  </si>
  <si>
    <t>ООО "ЕДАРУ"</t>
  </si>
  <si>
    <t>ОБЩЕСТВО С ОГРАНИЧЕННОЙ ОТВЕТСТВЕННОСТЬЮ "ЕДАРУ"</t>
  </si>
  <si>
    <t>9310015846</t>
  </si>
  <si>
    <t>1249300015315</t>
  </si>
  <si>
    <t>ДОНЕЦКАЯ НАРОДНАЯ РЕСПУБЛИКА, ГОРОДСКОЙ ОКРУГ МАРИУПОЛЬ, Г. МАРИУПОЛЬ, ПР-КТ МЕТАЛЛУРГОВ, Д. 92А, ПОМЕЩ. 23</t>
  </si>
  <si>
    <t>ООО "ИМХОТЕП ПРО"</t>
  </si>
  <si>
    <t>ОБЩЕСТВО С ОГРАНИЧЕННОЙ ОТВЕТСТВЕННОСТЬЮ "ИМХОТЕП ПРО"</t>
  </si>
  <si>
    <t>9310015839</t>
  </si>
  <si>
    <t>1249300015304</t>
  </si>
  <si>
    <t>287504, ДОНЕЦКАЯ НАРОДНАЯ РЕСПУБЛИКА, ГОРОДСКОЙ ОКРУГ МАРИУПОЛЬ, Г. МАРИУПОЛЬ, УЛ. ГУРАМИШВИЛИ, Д. 97</t>
  </si>
  <si>
    <t>ООО "ИННА ПЛЮС"</t>
  </si>
  <si>
    <t>ОБЩЕСТВО С ОГРАНИЧЕННОЙ ОТВЕТСТВЕННОСТЬЮ "ИННА ПЛЮС"</t>
  </si>
  <si>
    <t>9310015860</t>
  </si>
  <si>
    <t>1249300015392</t>
  </si>
  <si>
    <t>ДОНЕЦКАЯ НАРОДНАЯ РЕСПУБЛИКА, ГОРОДСКОЙ ОКРУГ МАРИУПОЛЬ, Г. МАРИУПОЛЬ, ПР-КТ ЛЕНИНА, Д. 171, КВ. 24</t>
  </si>
  <si>
    <t>ООО "ЛИТЛАЙТ"</t>
  </si>
  <si>
    <t>ОБЩЕСТВО С ОГРАНИЧЕННОЙ ОТВЕТСТВЕННОСТЬЮ "ЛИТЛАЙТ"</t>
  </si>
  <si>
    <t>9310015765</t>
  </si>
  <si>
    <t>1249300015172</t>
  </si>
  <si>
    <t>ДОНЕЦКАЯ НАРОДНАЯ РЕСПУБЛИКА, ГОРОДСКОЙ ОКРУГ МАРИУПОЛЬ, Г. МАРИУПОЛЬ, УЛ. ГРАНИТНАЯ, Д. 76</t>
  </si>
  <si>
    <t>ООО "НИВА"</t>
  </si>
  <si>
    <t>ОБЩЕСТВО С ОГРАНИЧЕННОЙ ОТВЕТСТВЕННОСТЬЮ "НИВА"</t>
  </si>
  <si>
    <t>9310015797</t>
  </si>
  <si>
    <t>1249300015216</t>
  </si>
  <si>
    <t>287524, ДОНЕЦКАЯ НАРОДНАЯ РЕСПУБЛИКА, ГОРОДСКОЙ ОКРУГ МАРИУПОЛЬ, Г. МАРИУПОЛЬ, ПР-КТ МЕТАЛЛУРГОВ, Д. 172, КВ. 35</t>
  </si>
  <si>
    <t>ООО "СЕРЕП"</t>
  </si>
  <si>
    <t>ОБЩЕСТВО С ОГРАНИЧЕННОЙ ОТВЕТСТВЕННОСТЬЮ "СЕРЕП"</t>
  </si>
  <si>
    <t>9310015885</t>
  </si>
  <si>
    <t>1249300015436</t>
  </si>
  <si>
    <t>ДОНЕЦКАЯ НАРОДНАЯ РЕСПУБЛИКА, ГОРОДСКОЙ ОКРУГ МАРИУПОЛЬ, Г. МАРИУПОЛЬ, УЛ. АПАТОВА, Д. 140А</t>
  </si>
  <si>
    <t>ООО "СЗ "СУ-2007 ИНВЕСТ"</t>
  </si>
  <si>
    <t>ОБЩЕСТВО С ОГРАНИЧЕННОЙ ОТВЕТСТВЕННОСТЬЮ "СПЕЦИАЛИЗИРОВАННЫЙ ЗАСТРОЙЩИК "СТРОИТЕЛЬНОЕ УПРАВЛЕНИЕ-2007 ИНВЕСТ"</t>
  </si>
  <si>
    <t>9310015807</t>
  </si>
  <si>
    <t>1249300015249</t>
  </si>
  <si>
    <t>ДОНЕЦКАЯ НАРОДНАЯ РЕСПУБЛИКА, ГОРОДСКОЙ ОКРУГ МАРИУПОЛЬ, Г. МАРИУПОЛЬ, ПР-КТ МЕТАЛЛУРГОВ, Д. 87А, ПОМЕЩ. 5</t>
  </si>
  <si>
    <t>ООО СЗ "НАХИМОВ"</t>
  </si>
  <si>
    <t>ОБЩЕСТВО С ОГРАНИЧЕННОЙ ОТВЕТСТВЕННОСТЬЮ "СПЕЦИАЛИЗИРОВАННЫЙ ЗАСТРОЙЩИК НАХИМОВ "СЗ "НАХИМОВ"</t>
  </si>
  <si>
    <t>9310015814</t>
  </si>
  <si>
    <t>1249300015250</t>
  </si>
  <si>
    <t>ДОНЕЦКАЯ НАРОДНАЯ РЕСПУБЛИКА, ГОРОДСКОЙ ОКРУГ МАРИУПОЛЬ, Г. МАРИУПОЛЬ, УЛ. КРАЙНЯЯ, Д. 33Б</t>
  </si>
  <si>
    <t>ООО "ТОРГОВАЯ ФИРМА "ЛЮКС"</t>
  </si>
  <si>
    <t>ОБЩЕСТВО С ОГРАНИЧЕННОЙ ОТВЕТСТВЕННОСТЬЮ "ТОРГОВАЯ ФИРМА "ЛЮКС"</t>
  </si>
  <si>
    <t>9310015772</t>
  </si>
  <si>
    <t>1249300015194</t>
  </si>
  <si>
    <t>ДОНЕЦКАЯ НАРОДНАЯ РЕСПУБЛИКА, ГОРОДСКОЙ ОКРУГ МАРИУПОЛЬ, Г. МАРИУПОЛЬ, ПР-КТ ПОБЕДЫ, Д. 43/21</t>
  </si>
  <si>
    <t>ООО "ТРУБОПРОВОДСТРОЙ"</t>
  </si>
  <si>
    <t>ОБЩЕСТВО С ОГРАНИЧЕННОЙ ОТВЕТСТВЕННОСТЬЮ "ТРУБОПРОВОДСТРОЙ"</t>
  </si>
  <si>
    <t>9310015780</t>
  </si>
  <si>
    <t>1249300015205</t>
  </si>
  <si>
    <t>287541, ДОНЕЦКАЯ НАРОДНАЯ РЕСПУБЛИКА, ГОРОДСКОЙ ОКРУГ МАРИУПОЛЬ, Г. МАРИУПОЛЬ, Б-Р КОМСОМОЛЬСКИЙ, Д. 5</t>
  </si>
  <si>
    <t>РОО "МДЛ"</t>
  </si>
  <si>
    <t>РЕГИОНАЛЬНАЯ ОБЩЕСТВЕННАЯ ОРГАНИЗАЦИЯ "МИР ДЕЛОВЫХ ЛЮДЕЙ"</t>
  </si>
  <si>
    <t>9310015853</t>
  </si>
  <si>
    <t>1249300015359</t>
  </si>
  <si>
    <t>ДОНЕЦКАЯ НАРОДНАЯ РЕСПУБЛИКА, ГОРОДСКОЙ ОКРУГ МАРИУПОЛЬ, Г. МАРИУПОЛЬ, УЛ. ШОТА РУСТАВЕЛИ, ЗД. 14</t>
  </si>
  <si>
    <t>СНТ "ЖЕМЧУЖИНА"</t>
  </si>
  <si>
    <t>САДОВОДЧЕСКОЕ НЕКОММЕРЧЕСКОЕ ТОВАРИЩЕСТВО "ЖЕМЧУЖИНА"</t>
  </si>
  <si>
    <t>9310015959</t>
  </si>
  <si>
    <t>1249300015667</t>
  </si>
  <si>
    <t>ДОНЕЦКАЯ НАРОДНАЯ РЕСПУБЛИКА, ГОРОДСКОЙ ОКРУГ МАРИУПОЛЬ, Г. МАРИУПОЛЬ, УЛ. УРИЦКОГО, Д. 102, КВ. 13</t>
  </si>
  <si>
    <t>ООО "МФ "ЕВРАЗИЯ"</t>
  </si>
  <si>
    <t>ОБЩЕСТВО С ОГРАНИЧЕННОЙ ОТВЕТСТВЕННОСТЬЮ "МНОГОПРОФИЛЬНАЯ ФИРМА "ЕВРАЗИЯ"</t>
  </si>
  <si>
    <t>9310017057</t>
  </si>
  <si>
    <t>1249300019759</t>
  </si>
  <si>
    <t>ДОНЕЦКАЯ НАРОДНАЯ РЕСПУБЛИКА, МАРИУПОЛЬ, Г. МАРИУПОЛЬ, ПГТ. САРТАНА, УЛ. ШМИДТА, Д. 18Б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</si>
</sst>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color rgb="FF5C0303"/>
      <name val="Arial"/>
      <family val="2"/>
      <charset val="1"/>
    </font>
    <font>
      <u/>
      <sz val="10"/>
      <color rgb="FF4D4DA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/>
    <xf numFmtId="49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0303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D4DA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9"/>
  <sheetViews>
    <sheetView tabSelected="1" topLeftCell="H1" zoomScaleNormal="100" workbookViewId="0">
      <selection activeCell="N17" sqref="N17"/>
    </sheetView>
  </sheetViews>
  <sheetFormatPr defaultColWidth="8.5546875" defaultRowHeight="13.2" x14ac:dyDescent="0.25"/>
  <cols>
    <col min="1" max="1" width="37" customWidth="1"/>
    <col min="2" max="2" width="30" customWidth="1"/>
    <col min="3" max="3" width="70" customWidth="1"/>
    <col min="4" max="4" width="15" customWidth="1"/>
    <col min="5" max="5" width="11.33203125" customWidth="1"/>
    <col min="6" max="6" width="14.21875" customWidth="1"/>
    <col min="7" max="7" width="15" customWidth="1"/>
    <col min="8" max="8" width="129.21875" customWidth="1"/>
    <col min="9" max="9" width="15" customWidth="1"/>
    <col min="10" max="12" width="20" customWidth="1"/>
    <col min="13" max="1019" width="11.44140625" customWidth="1"/>
    <col min="16380" max="16384" width="11.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tr">
        <f>HYPERLINK("https://www.list-org.com/company/13734229","https://www.list-org.com/company/13734229")</f>
        <v>https://www.list-org.com/company/13734229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/>
      <c r="H2" s="3" t="s">
        <v>17</v>
      </c>
      <c r="I2" s="4"/>
      <c r="J2" s="4"/>
      <c r="K2" s="4"/>
      <c r="L2" s="4"/>
    </row>
    <row r="3" spans="1:12" x14ac:dyDescent="0.25">
      <c r="A3" s="2" t="str">
        <f>HYPERLINK("https://www.list-org.com/company/13735650","https://www.list-org.com/company/13735650")</f>
        <v>https://www.list-org.com/company/13735650</v>
      </c>
      <c r="B3" s="3" t="s">
        <v>18</v>
      </c>
      <c r="C3" s="3" t="s">
        <v>19</v>
      </c>
      <c r="D3" s="3" t="s">
        <v>14</v>
      </c>
      <c r="E3" s="3" t="s">
        <v>20</v>
      </c>
      <c r="F3" s="3" t="s">
        <v>21</v>
      </c>
      <c r="G3" s="3"/>
      <c r="H3" s="3" t="s">
        <v>22</v>
      </c>
      <c r="I3" s="4"/>
      <c r="J3" s="4"/>
      <c r="K3" s="4"/>
      <c r="L3" s="4"/>
    </row>
    <row r="4" spans="1:12" x14ac:dyDescent="0.25">
      <c r="A4" s="2" t="str">
        <f>HYPERLINK("https://www.list-org.com/company/13735651","https://www.list-org.com/company/13735651")</f>
        <v>https://www.list-org.com/company/13735651</v>
      </c>
      <c r="B4" s="3" t="s">
        <v>23</v>
      </c>
      <c r="C4" s="3" t="s">
        <v>24</v>
      </c>
      <c r="D4" s="3" t="s">
        <v>14</v>
      </c>
      <c r="E4" s="3" t="s">
        <v>25</v>
      </c>
      <c r="F4" s="3" t="s">
        <v>26</v>
      </c>
      <c r="G4" s="3"/>
      <c r="H4" s="3" t="s">
        <v>27</v>
      </c>
      <c r="I4" s="4"/>
      <c r="J4" s="4"/>
      <c r="K4" s="4"/>
      <c r="L4" s="4"/>
    </row>
    <row r="5" spans="1:12" x14ac:dyDescent="0.25">
      <c r="A5" s="2" t="str">
        <f>HYPERLINK("https://www.list-org.com/company/13735652","https://www.list-org.com/company/13735652")</f>
        <v>https://www.list-org.com/company/13735652</v>
      </c>
      <c r="B5" s="3" t="s">
        <v>28</v>
      </c>
      <c r="C5" s="3" t="s">
        <v>29</v>
      </c>
      <c r="D5" s="3" t="s">
        <v>14</v>
      </c>
      <c r="E5" s="3" t="s">
        <v>30</v>
      </c>
      <c r="F5" s="3" t="s">
        <v>31</v>
      </c>
      <c r="G5" s="3"/>
      <c r="H5" s="3" t="s">
        <v>32</v>
      </c>
      <c r="I5" s="4"/>
      <c r="J5" s="4"/>
      <c r="K5" s="4"/>
      <c r="L5" s="4"/>
    </row>
    <row r="6" spans="1:12" x14ac:dyDescent="0.25">
      <c r="A6" s="2" t="str">
        <f>HYPERLINK("https://www.list-org.com/company/13735653","https://www.list-org.com/company/13735653")</f>
        <v>https://www.list-org.com/company/13735653</v>
      </c>
      <c r="B6" s="3" t="s">
        <v>33</v>
      </c>
      <c r="C6" s="3" t="s">
        <v>34</v>
      </c>
      <c r="D6" s="3" t="s">
        <v>14</v>
      </c>
      <c r="E6" s="3" t="s">
        <v>35</v>
      </c>
      <c r="F6" s="3" t="s">
        <v>36</v>
      </c>
      <c r="G6" s="3"/>
      <c r="H6" s="3" t="s">
        <v>22</v>
      </c>
      <c r="I6" s="4"/>
      <c r="J6" s="4"/>
      <c r="K6" s="4"/>
      <c r="L6" s="4"/>
    </row>
    <row r="7" spans="1:12" x14ac:dyDescent="0.25">
      <c r="A7" s="2" t="str">
        <f>HYPERLINK("https://www.list-org.com/company/13734227","https://www.list-org.com/company/13734227")</f>
        <v>https://www.list-org.com/company/13734227</v>
      </c>
      <c r="B7" s="3" t="s">
        <v>37</v>
      </c>
      <c r="C7" s="3" t="s">
        <v>38</v>
      </c>
      <c r="D7" s="3" t="s">
        <v>14</v>
      </c>
      <c r="E7" s="3" t="s">
        <v>39</v>
      </c>
      <c r="F7" s="3" t="s">
        <v>40</v>
      </c>
      <c r="G7" s="3"/>
      <c r="H7" s="3" t="s">
        <v>41</v>
      </c>
      <c r="I7" s="4"/>
      <c r="J7" s="4"/>
      <c r="K7" s="4"/>
      <c r="L7" s="4"/>
    </row>
    <row r="8" spans="1:12" x14ac:dyDescent="0.25">
      <c r="A8" s="2" t="str">
        <f>HYPERLINK("https://www.list-org.com/company/13734228","https://www.list-org.com/company/13734228")</f>
        <v>https://www.list-org.com/company/13734228</v>
      </c>
      <c r="B8" s="3" t="s">
        <v>42</v>
      </c>
      <c r="C8" s="3" t="s">
        <v>43</v>
      </c>
      <c r="D8" s="3" t="s">
        <v>14</v>
      </c>
      <c r="E8" s="3" t="s">
        <v>44</v>
      </c>
      <c r="F8" s="3" t="s">
        <v>45</v>
      </c>
      <c r="G8" s="3"/>
      <c r="H8" s="3" t="s">
        <v>46</v>
      </c>
      <c r="I8" s="4"/>
      <c r="J8" s="4"/>
      <c r="K8" s="4"/>
      <c r="L8" s="4"/>
    </row>
    <row r="9" spans="1:12" x14ac:dyDescent="0.25">
      <c r="A9" s="2" t="str">
        <f>HYPERLINK("https://www.list-org.com/company/13743529","https://www.list-org.com/company/13743529")</f>
        <v>https://www.list-org.com/company/13743529</v>
      </c>
      <c r="B9" s="3" t="s">
        <v>47</v>
      </c>
      <c r="C9" s="3" t="s">
        <v>48</v>
      </c>
      <c r="D9" s="3" t="s">
        <v>14</v>
      </c>
      <c r="E9" s="3" t="s">
        <v>49</v>
      </c>
      <c r="F9" s="3" t="s">
        <v>50</v>
      </c>
      <c r="G9" s="3"/>
      <c r="H9" s="3" t="s">
        <v>51</v>
      </c>
      <c r="I9" s="4"/>
      <c r="J9" s="4"/>
      <c r="K9" s="4"/>
      <c r="L9" s="4"/>
    </row>
    <row r="10" spans="1:12" x14ac:dyDescent="0.25">
      <c r="A10" s="2" t="str">
        <f>HYPERLINK("https://www.list-org.com/company/13749780","https://www.list-org.com/company/13749780")</f>
        <v>https://www.list-org.com/company/13749780</v>
      </c>
      <c r="B10" s="3" t="s">
        <v>52</v>
      </c>
      <c r="C10" s="3" t="s">
        <v>53</v>
      </c>
      <c r="D10" s="3" t="s">
        <v>14</v>
      </c>
      <c r="E10" s="3" t="s">
        <v>54</v>
      </c>
      <c r="F10" s="3" t="s">
        <v>55</v>
      </c>
      <c r="G10" s="3"/>
      <c r="H10" s="3" t="s">
        <v>56</v>
      </c>
      <c r="I10" s="4">
        <v>1</v>
      </c>
      <c r="J10" s="4">
        <v>413</v>
      </c>
      <c r="K10" s="4">
        <v>255</v>
      </c>
      <c r="L10" s="4">
        <v>401</v>
      </c>
    </row>
    <row r="11" spans="1:12" x14ac:dyDescent="0.25">
      <c r="A11" s="2" t="str">
        <f>HYPERLINK("https://www.list-org.com/company/13763937","https://www.list-org.com/company/13763937")</f>
        <v>https://www.list-org.com/company/13763937</v>
      </c>
      <c r="B11" s="3" t="s">
        <v>57</v>
      </c>
      <c r="C11" s="3" t="s">
        <v>58</v>
      </c>
      <c r="D11" s="3" t="s">
        <v>14</v>
      </c>
      <c r="E11" s="3" t="s">
        <v>59</v>
      </c>
      <c r="F11" s="3" t="s">
        <v>60</v>
      </c>
      <c r="G11" s="3"/>
      <c r="H11" s="3" t="s">
        <v>61</v>
      </c>
      <c r="I11" s="4"/>
      <c r="J11" s="4"/>
      <c r="K11" s="4"/>
      <c r="L11" s="4"/>
    </row>
    <row r="12" spans="1:12" x14ac:dyDescent="0.25">
      <c r="A12" s="2" t="str">
        <f>HYPERLINK("https://www.list-org.com/company/13776891","https://www.list-org.com/company/13776891")</f>
        <v>https://www.list-org.com/company/13776891</v>
      </c>
      <c r="B12" s="3" t="s">
        <v>62</v>
      </c>
      <c r="C12" s="3" t="s">
        <v>63</v>
      </c>
      <c r="D12" s="3" t="s">
        <v>14</v>
      </c>
      <c r="E12" s="3" t="s">
        <v>64</v>
      </c>
      <c r="F12" s="3" t="s">
        <v>65</v>
      </c>
      <c r="G12" s="3"/>
      <c r="H12" s="3" t="s">
        <v>66</v>
      </c>
      <c r="I12" s="4"/>
      <c r="J12" s="4"/>
      <c r="K12" s="4"/>
      <c r="L12" s="4"/>
    </row>
    <row r="13" spans="1:12" x14ac:dyDescent="0.25">
      <c r="A13" s="2" t="str">
        <f>HYPERLINK("https://www.list-org.com/company/13842526","https://www.list-org.com/company/13842526")</f>
        <v>https://www.list-org.com/company/13842526</v>
      </c>
      <c r="B13" s="3" t="s">
        <v>67</v>
      </c>
      <c r="C13" s="3" t="s">
        <v>68</v>
      </c>
      <c r="D13" s="3" t="s">
        <v>14</v>
      </c>
      <c r="E13" s="3" t="s">
        <v>69</v>
      </c>
      <c r="F13" s="3" t="s">
        <v>70</v>
      </c>
      <c r="G13" s="3"/>
      <c r="H13" s="3" t="s">
        <v>71</v>
      </c>
      <c r="I13" s="4"/>
      <c r="J13" s="4"/>
      <c r="K13" s="4"/>
      <c r="L13" s="4"/>
    </row>
    <row r="14" spans="1:12" x14ac:dyDescent="0.25">
      <c r="A14" s="2" t="str">
        <f>HYPERLINK("https://www.list-org.com/company/13844798","https://www.list-org.com/company/13844798")</f>
        <v>https://www.list-org.com/company/13844798</v>
      </c>
      <c r="B14" s="3" t="s">
        <v>72</v>
      </c>
      <c r="C14" s="3" t="s">
        <v>73</v>
      </c>
      <c r="D14" s="3" t="s">
        <v>14</v>
      </c>
      <c r="E14" s="3" t="s">
        <v>74</v>
      </c>
      <c r="F14" s="3" t="s">
        <v>75</v>
      </c>
      <c r="G14" s="3"/>
      <c r="H14" s="3" t="s">
        <v>76</v>
      </c>
      <c r="I14" s="4"/>
      <c r="J14" s="4"/>
      <c r="K14" s="4"/>
      <c r="L14" s="4"/>
    </row>
    <row r="15" spans="1:12" x14ac:dyDescent="0.25">
      <c r="A15" s="2" t="str">
        <f>HYPERLINK("https://www.list-org.com/company/13844799","https://www.list-org.com/company/13844799")</f>
        <v>https://www.list-org.com/company/13844799</v>
      </c>
      <c r="B15" s="3" t="s">
        <v>77</v>
      </c>
      <c r="C15" s="3" t="s">
        <v>78</v>
      </c>
      <c r="D15" s="3" t="s">
        <v>14</v>
      </c>
      <c r="E15" s="3" t="s">
        <v>79</v>
      </c>
      <c r="F15" s="3" t="s">
        <v>80</v>
      </c>
      <c r="G15" s="3"/>
      <c r="H15" s="3" t="s">
        <v>81</v>
      </c>
      <c r="I15" s="4"/>
      <c r="J15" s="4"/>
      <c r="K15" s="4"/>
      <c r="L15" s="4"/>
    </row>
    <row r="16" spans="1:12" x14ac:dyDescent="0.25">
      <c r="A16" s="2" t="str">
        <f>HYPERLINK("https://www.list-org.com/company/14142085","https://www.list-org.com/company/14142085")</f>
        <v>https://www.list-org.com/company/14142085</v>
      </c>
      <c r="B16" s="3" t="s">
        <v>82</v>
      </c>
      <c r="C16" s="3" t="s">
        <v>83</v>
      </c>
      <c r="D16" s="3" t="s">
        <v>14</v>
      </c>
      <c r="E16" s="3" t="s">
        <v>84</v>
      </c>
      <c r="F16" s="3" t="s">
        <v>85</v>
      </c>
      <c r="G16" s="3"/>
      <c r="H16" s="3" t="s">
        <v>86</v>
      </c>
      <c r="I16" s="4"/>
      <c r="J16" s="4"/>
      <c r="K16" s="4"/>
      <c r="L16" s="4"/>
    </row>
    <row r="17" spans="1:12" x14ac:dyDescent="0.25">
      <c r="A17" s="2" t="str">
        <f>HYPERLINK("https://www.list-org.com/company/14214195","https://www.list-org.com/company/14214195")</f>
        <v>https://www.list-org.com/company/14214195</v>
      </c>
      <c r="B17" s="3" t="s">
        <v>87</v>
      </c>
      <c r="C17" s="3" t="s">
        <v>88</v>
      </c>
      <c r="D17" s="3" t="s">
        <v>14</v>
      </c>
      <c r="E17" s="3" t="s">
        <v>89</v>
      </c>
      <c r="F17" s="3" t="s">
        <v>90</v>
      </c>
      <c r="G17" s="3"/>
      <c r="H17" s="3" t="s">
        <v>91</v>
      </c>
      <c r="I17" s="4"/>
      <c r="J17" s="4"/>
      <c r="K17" s="4"/>
      <c r="L17" s="4"/>
    </row>
    <row r="18" spans="1:12" x14ac:dyDescent="0.25">
      <c r="A18" s="2" t="str">
        <f>HYPERLINK("https://www.list-org.com/company/14222122","https://www.list-org.com/company/14222122")</f>
        <v>https://www.list-org.com/company/14222122</v>
      </c>
      <c r="B18" s="3" t="s">
        <v>92</v>
      </c>
      <c r="C18" s="3" t="s">
        <v>93</v>
      </c>
      <c r="D18" s="3" t="s">
        <v>14</v>
      </c>
      <c r="E18" s="3" t="s">
        <v>94</v>
      </c>
      <c r="F18" s="3" t="s">
        <v>95</v>
      </c>
      <c r="G18" s="3"/>
      <c r="H18" s="3" t="s">
        <v>96</v>
      </c>
      <c r="I18" s="4"/>
      <c r="J18" s="4"/>
      <c r="K18" s="4"/>
      <c r="L18" s="4"/>
    </row>
    <row r="19" spans="1:12" x14ac:dyDescent="0.25">
      <c r="A19" s="2" t="str">
        <f>HYPERLINK("https://www.list-org.com/company/14233143","https://www.list-org.com/company/14233143")</f>
        <v>https://www.list-org.com/company/14233143</v>
      </c>
      <c r="B19" s="3" t="s">
        <v>97</v>
      </c>
      <c r="C19" s="3" t="s">
        <v>98</v>
      </c>
      <c r="D19" s="3" t="s">
        <v>14</v>
      </c>
      <c r="E19" s="3" t="s">
        <v>99</v>
      </c>
      <c r="F19" s="3" t="s">
        <v>100</v>
      </c>
      <c r="G19" s="3"/>
      <c r="H19" s="3" t="s">
        <v>101</v>
      </c>
      <c r="I19" s="4"/>
      <c r="J19" s="4"/>
      <c r="K19" s="4"/>
      <c r="L19" s="4"/>
    </row>
    <row r="20" spans="1:12" x14ac:dyDescent="0.25">
      <c r="A20" s="2" t="str">
        <f>HYPERLINK("https://www.list-org.com/company/14233144","https://www.list-org.com/company/14233144")</f>
        <v>https://www.list-org.com/company/14233144</v>
      </c>
      <c r="B20" s="3" t="s">
        <v>102</v>
      </c>
      <c r="C20" s="3" t="s">
        <v>103</v>
      </c>
      <c r="D20" s="3" t="s">
        <v>14</v>
      </c>
      <c r="E20" s="3" t="s">
        <v>104</v>
      </c>
      <c r="F20" s="3" t="s">
        <v>105</v>
      </c>
      <c r="G20" s="3"/>
      <c r="H20" s="3" t="s">
        <v>106</v>
      </c>
      <c r="I20" s="4"/>
      <c r="J20" s="4"/>
      <c r="K20" s="4"/>
      <c r="L20" s="4"/>
    </row>
    <row r="21" spans="1:12" x14ac:dyDescent="0.25">
      <c r="A21" s="2" t="str">
        <f>HYPERLINK("https://www.list-org.com/company/14498719","https://www.list-org.com/company/14498719")</f>
        <v>https://www.list-org.com/company/14498719</v>
      </c>
      <c r="B21" s="3" t="s">
        <v>107</v>
      </c>
      <c r="C21" s="3" t="s">
        <v>108</v>
      </c>
      <c r="D21" s="3" t="s">
        <v>14</v>
      </c>
      <c r="E21" s="3" t="s">
        <v>109</v>
      </c>
      <c r="F21" s="3" t="s">
        <v>110</v>
      </c>
      <c r="G21" s="3"/>
      <c r="H21" s="3" t="s">
        <v>111</v>
      </c>
      <c r="I21" s="4"/>
      <c r="J21" s="4"/>
      <c r="K21" s="4"/>
      <c r="L21" s="4"/>
    </row>
    <row r="22" spans="1:12" x14ac:dyDescent="0.25">
      <c r="A22" s="2" t="str">
        <f>HYPERLINK("https://www.list-org.com/company/14539932","https://www.list-org.com/company/14539932")</f>
        <v>https://www.list-org.com/company/14539932</v>
      </c>
      <c r="B22" s="3" t="s">
        <v>112</v>
      </c>
      <c r="C22" s="3" t="s">
        <v>113</v>
      </c>
      <c r="D22" s="3" t="s">
        <v>14</v>
      </c>
      <c r="E22" s="3" t="s">
        <v>114</v>
      </c>
      <c r="F22" s="3" t="s">
        <v>115</v>
      </c>
      <c r="G22" s="3"/>
      <c r="H22" s="3" t="s">
        <v>116</v>
      </c>
      <c r="I22" s="4"/>
      <c r="J22" s="4"/>
      <c r="K22" s="4"/>
      <c r="L22" s="4"/>
    </row>
    <row r="23" spans="1:12" x14ac:dyDescent="0.25">
      <c r="A23" s="2" t="str">
        <f>HYPERLINK("https://www.list-org.com/company/14573121","https://www.list-org.com/company/14573121")</f>
        <v>https://www.list-org.com/company/14573121</v>
      </c>
      <c r="B23" s="3" t="s">
        <v>117</v>
      </c>
      <c r="C23" s="3" t="s">
        <v>118</v>
      </c>
      <c r="D23" s="3" t="s">
        <v>14</v>
      </c>
      <c r="E23" s="3" t="s">
        <v>119</v>
      </c>
      <c r="F23" s="3" t="s">
        <v>120</v>
      </c>
      <c r="G23" s="3"/>
      <c r="H23" s="3" t="s">
        <v>121</v>
      </c>
      <c r="I23" s="4"/>
      <c r="J23" s="4"/>
      <c r="K23" s="4"/>
      <c r="L23" s="4"/>
    </row>
    <row r="24" spans="1:12" x14ac:dyDescent="0.25">
      <c r="A24" s="2" t="str">
        <f>HYPERLINK("https://www.list-org.com/company/14783779","https://www.list-org.com/company/14783779")</f>
        <v>https://www.list-org.com/company/14783779</v>
      </c>
      <c r="B24" s="3" t="s">
        <v>122</v>
      </c>
      <c r="C24" s="3" t="s">
        <v>123</v>
      </c>
      <c r="D24" s="3" t="s">
        <v>14</v>
      </c>
      <c r="E24" s="3" t="s">
        <v>124</v>
      </c>
      <c r="F24" s="3" t="s">
        <v>125</v>
      </c>
      <c r="G24" s="3"/>
      <c r="H24" s="3" t="s">
        <v>126</v>
      </c>
      <c r="I24" s="4"/>
      <c r="J24" s="4"/>
      <c r="K24" s="4"/>
      <c r="L24" s="4"/>
    </row>
    <row r="25" spans="1:12" x14ac:dyDescent="0.25">
      <c r="A25" s="2" t="str">
        <f>HYPERLINK("https://www.list-org.com/company/14803687","https://www.list-org.com/company/14803687")</f>
        <v>https://www.list-org.com/company/14803687</v>
      </c>
      <c r="B25" s="3" t="s">
        <v>127</v>
      </c>
      <c r="C25" s="3" t="s">
        <v>128</v>
      </c>
      <c r="D25" s="3" t="s">
        <v>14</v>
      </c>
      <c r="E25" s="3" t="s">
        <v>129</v>
      </c>
      <c r="F25" s="3" t="s">
        <v>130</v>
      </c>
      <c r="G25" s="3"/>
      <c r="H25" s="3" t="s">
        <v>131</v>
      </c>
      <c r="I25" s="4"/>
      <c r="J25" s="4"/>
      <c r="K25" s="4"/>
      <c r="L25" s="4"/>
    </row>
    <row r="26" spans="1:12" x14ac:dyDescent="0.25">
      <c r="A26" s="2" t="str">
        <f>HYPERLINK("https://www.list-org.com/company/13774091","https://www.list-org.com/company/13774091")</f>
        <v>https://www.list-org.com/company/13774091</v>
      </c>
      <c r="B26" s="3" t="s">
        <v>132</v>
      </c>
      <c r="C26" s="3" t="s">
        <v>133</v>
      </c>
      <c r="D26" s="3" t="s">
        <v>14</v>
      </c>
      <c r="E26" s="3" t="s">
        <v>134</v>
      </c>
      <c r="F26" s="3" t="s">
        <v>135</v>
      </c>
      <c r="G26" s="3"/>
      <c r="H26" s="3" t="s">
        <v>136</v>
      </c>
      <c r="I26" s="4"/>
      <c r="J26" s="4"/>
      <c r="K26" s="4"/>
      <c r="L26" s="4"/>
    </row>
    <row r="27" spans="1:12" x14ac:dyDescent="0.25">
      <c r="A27" s="2" t="str">
        <f>HYPERLINK("https://www.list-org.com/company/13734251","https://www.list-org.com/company/13734251")</f>
        <v>https://www.list-org.com/company/13734251</v>
      </c>
      <c r="B27" s="3" t="s">
        <v>137</v>
      </c>
      <c r="C27" s="3" t="s">
        <v>138</v>
      </c>
      <c r="D27" s="3" t="s">
        <v>14</v>
      </c>
      <c r="E27" s="3" t="s">
        <v>139</v>
      </c>
      <c r="F27" s="3" t="s">
        <v>140</v>
      </c>
      <c r="G27" s="3"/>
      <c r="H27" s="3" t="s">
        <v>141</v>
      </c>
      <c r="I27" s="4"/>
      <c r="J27" s="4"/>
      <c r="K27" s="4"/>
      <c r="L27" s="4"/>
    </row>
    <row r="28" spans="1:12" x14ac:dyDescent="0.25">
      <c r="A28" s="2" t="str">
        <f>HYPERLINK("https://www.list-org.com/company/13734552","https://www.list-org.com/company/13734552")</f>
        <v>https://www.list-org.com/company/13734552</v>
      </c>
      <c r="B28" s="3" t="s">
        <v>142</v>
      </c>
      <c r="C28" s="3" t="s">
        <v>143</v>
      </c>
      <c r="D28" s="3" t="s">
        <v>14</v>
      </c>
      <c r="E28" s="3" t="s">
        <v>144</v>
      </c>
      <c r="F28" s="3" t="s">
        <v>145</v>
      </c>
      <c r="G28" s="3"/>
      <c r="H28" s="3" t="s">
        <v>146</v>
      </c>
      <c r="I28" s="4"/>
      <c r="J28" s="4"/>
      <c r="K28" s="4">
        <v>1152</v>
      </c>
      <c r="L28" s="4"/>
    </row>
    <row r="29" spans="1:12" x14ac:dyDescent="0.25">
      <c r="A29" s="2" t="str">
        <f>HYPERLINK("https://www.list-org.com/company/13734977","https://www.list-org.com/company/13734977")</f>
        <v>https://www.list-org.com/company/13734977</v>
      </c>
      <c r="B29" s="3" t="s">
        <v>147</v>
      </c>
      <c r="C29" s="3" t="s">
        <v>148</v>
      </c>
      <c r="D29" s="3" t="s">
        <v>14</v>
      </c>
      <c r="E29" s="3" t="s">
        <v>149</v>
      </c>
      <c r="F29" s="3" t="s">
        <v>150</v>
      </c>
      <c r="G29" s="3"/>
      <c r="H29" s="3" t="s">
        <v>151</v>
      </c>
      <c r="I29" s="4"/>
      <c r="J29" s="4"/>
      <c r="K29" s="4"/>
      <c r="L29" s="4"/>
    </row>
    <row r="30" spans="1:12" x14ac:dyDescent="0.25">
      <c r="A30" s="2" t="str">
        <f>HYPERLINK("https://www.list-org.com/company/13734988","https://www.list-org.com/company/13734988")</f>
        <v>https://www.list-org.com/company/13734988</v>
      </c>
      <c r="B30" s="3" t="s">
        <v>152</v>
      </c>
      <c r="C30" s="3" t="s">
        <v>153</v>
      </c>
      <c r="D30" s="3" t="s">
        <v>14</v>
      </c>
      <c r="E30" s="3" t="s">
        <v>154</v>
      </c>
      <c r="F30" s="3" t="s">
        <v>155</v>
      </c>
      <c r="G30" s="3"/>
      <c r="H30" s="3" t="s">
        <v>156</v>
      </c>
      <c r="I30" s="4"/>
      <c r="J30" s="4"/>
      <c r="K30" s="4"/>
      <c r="L30" s="4"/>
    </row>
    <row r="31" spans="1:12" x14ac:dyDescent="0.25">
      <c r="A31" s="2" t="str">
        <f>HYPERLINK("https://www.list-org.com/company/13735010","https://www.list-org.com/company/13735010")</f>
        <v>https://www.list-org.com/company/13735010</v>
      </c>
      <c r="B31" s="3" t="s">
        <v>157</v>
      </c>
      <c r="C31" s="3" t="s">
        <v>158</v>
      </c>
      <c r="D31" s="3" t="s">
        <v>14</v>
      </c>
      <c r="E31" s="3" t="s">
        <v>159</v>
      </c>
      <c r="F31" s="3" t="s">
        <v>160</v>
      </c>
      <c r="G31" s="3"/>
      <c r="H31" s="3" t="s">
        <v>161</v>
      </c>
      <c r="I31" s="4"/>
      <c r="J31" s="4"/>
      <c r="K31" s="4"/>
      <c r="L31" s="4"/>
    </row>
    <row r="32" spans="1:12" x14ac:dyDescent="0.25">
      <c r="A32" s="2" t="str">
        <f>HYPERLINK("https://www.list-org.com/company/13775588","https://www.list-org.com/company/13775588")</f>
        <v>https://www.list-org.com/company/13775588</v>
      </c>
      <c r="B32" s="3" t="s">
        <v>162</v>
      </c>
      <c r="C32" s="3" t="s">
        <v>163</v>
      </c>
      <c r="D32" s="3" t="s">
        <v>14</v>
      </c>
      <c r="E32" s="3" t="s">
        <v>164</v>
      </c>
      <c r="F32" s="3" t="s">
        <v>165</v>
      </c>
      <c r="G32" s="3"/>
      <c r="H32" s="3" t="s">
        <v>166</v>
      </c>
      <c r="I32" s="4"/>
      <c r="J32" s="4"/>
      <c r="K32" s="4"/>
      <c r="L32" s="4"/>
    </row>
    <row r="33" spans="1:12" x14ac:dyDescent="0.25">
      <c r="A33" s="2" t="str">
        <f>HYPERLINK("https://www.list-org.com/company/13775589","https://www.list-org.com/company/13775589")</f>
        <v>https://www.list-org.com/company/13775589</v>
      </c>
      <c r="B33" s="3" t="s">
        <v>167</v>
      </c>
      <c r="C33" s="3" t="s">
        <v>168</v>
      </c>
      <c r="D33" s="3" t="s">
        <v>14</v>
      </c>
      <c r="E33" s="3" t="s">
        <v>169</v>
      </c>
      <c r="F33" s="3" t="s">
        <v>170</v>
      </c>
      <c r="G33" s="3"/>
      <c r="H33" s="3" t="s">
        <v>171</v>
      </c>
      <c r="I33" s="4"/>
      <c r="J33" s="4"/>
      <c r="K33" s="4"/>
      <c r="L33" s="4"/>
    </row>
    <row r="34" spans="1:12" x14ac:dyDescent="0.25">
      <c r="A34" s="2" t="str">
        <f>HYPERLINK("https://www.list-org.com/company/14573551","https://www.list-org.com/company/14573551")</f>
        <v>https://www.list-org.com/company/14573551</v>
      </c>
      <c r="B34" s="3" t="s">
        <v>172</v>
      </c>
      <c r="C34" s="3" t="s">
        <v>173</v>
      </c>
      <c r="D34" s="3" t="s">
        <v>14</v>
      </c>
      <c r="E34" s="3" t="s">
        <v>174</v>
      </c>
      <c r="F34" s="3" t="s">
        <v>175</v>
      </c>
      <c r="G34" s="3"/>
      <c r="H34" s="3" t="s">
        <v>176</v>
      </c>
      <c r="I34" s="4"/>
      <c r="J34" s="4"/>
      <c r="K34" s="4"/>
      <c r="L34" s="4"/>
    </row>
    <row r="35" spans="1:12" x14ac:dyDescent="0.25">
      <c r="A35" s="2" t="str">
        <f>HYPERLINK("https://www.list-org.com/company/14573552","https://www.list-org.com/company/14573552")</f>
        <v>https://www.list-org.com/company/14573552</v>
      </c>
      <c r="B35" s="3" t="s">
        <v>177</v>
      </c>
      <c r="C35" s="3" t="s">
        <v>178</v>
      </c>
      <c r="D35" s="3" t="s">
        <v>14</v>
      </c>
      <c r="E35" s="3" t="s">
        <v>179</v>
      </c>
      <c r="F35" s="3" t="s">
        <v>180</v>
      </c>
      <c r="G35" s="3"/>
      <c r="H35" s="3" t="s">
        <v>181</v>
      </c>
      <c r="I35" s="4"/>
      <c r="J35" s="4"/>
      <c r="K35" s="4"/>
      <c r="L35" s="4"/>
    </row>
    <row r="36" spans="1:12" x14ac:dyDescent="0.25">
      <c r="A36" s="2" t="str">
        <f>HYPERLINK("https://www.list-org.com/company/14573553","https://www.list-org.com/company/14573553")</f>
        <v>https://www.list-org.com/company/14573553</v>
      </c>
      <c r="B36" s="3" t="s">
        <v>182</v>
      </c>
      <c r="C36" s="3" t="s">
        <v>183</v>
      </c>
      <c r="D36" s="3" t="s">
        <v>14</v>
      </c>
      <c r="E36" s="3" t="s">
        <v>184</v>
      </c>
      <c r="F36" s="3" t="s">
        <v>185</v>
      </c>
      <c r="G36" s="3"/>
      <c r="H36" s="3" t="s">
        <v>186</v>
      </c>
      <c r="I36" s="4"/>
      <c r="J36" s="4"/>
      <c r="K36" s="4"/>
      <c r="L36" s="4"/>
    </row>
    <row r="37" spans="1:12" x14ac:dyDescent="0.25">
      <c r="A37" s="2" t="str">
        <f>HYPERLINK("https://www.list-org.com/company/14573554","https://www.list-org.com/company/14573554")</f>
        <v>https://www.list-org.com/company/14573554</v>
      </c>
      <c r="B37" s="3" t="s">
        <v>187</v>
      </c>
      <c r="C37" s="3" t="s">
        <v>188</v>
      </c>
      <c r="D37" s="3" t="s">
        <v>14</v>
      </c>
      <c r="E37" s="3" t="s">
        <v>189</v>
      </c>
      <c r="F37" s="3" t="s">
        <v>190</v>
      </c>
      <c r="G37" s="3"/>
      <c r="H37" s="3" t="s">
        <v>191</v>
      </c>
      <c r="I37" s="4"/>
      <c r="J37" s="4"/>
      <c r="K37" s="4"/>
      <c r="L37" s="4"/>
    </row>
    <row r="38" spans="1:12" x14ac:dyDescent="0.25">
      <c r="A38" s="2" t="str">
        <f>HYPERLINK("https://www.list-org.com/company/13732657","https://www.list-org.com/company/13732657")</f>
        <v>https://www.list-org.com/company/13732657</v>
      </c>
      <c r="B38" s="3" t="s">
        <v>192</v>
      </c>
      <c r="C38" s="3" t="s">
        <v>193</v>
      </c>
      <c r="D38" s="3" t="s">
        <v>14</v>
      </c>
      <c r="E38" s="3" t="s">
        <v>194</v>
      </c>
      <c r="F38" s="3" t="s">
        <v>195</v>
      </c>
      <c r="G38" s="3"/>
      <c r="H38" s="3" t="s">
        <v>196</v>
      </c>
      <c r="I38" s="4"/>
      <c r="J38" s="4"/>
      <c r="K38" s="4"/>
      <c r="L38" s="4"/>
    </row>
    <row r="39" spans="1:12" x14ac:dyDescent="0.25">
      <c r="A39" s="2" t="str">
        <f>HYPERLINK("https://www.list-org.com/company/13734568","https://www.list-org.com/company/13734568")</f>
        <v>https://www.list-org.com/company/13734568</v>
      </c>
      <c r="B39" s="3" t="s">
        <v>197</v>
      </c>
      <c r="C39" s="3" t="s">
        <v>198</v>
      </c>
      <c r="D39" s="3" t="s">
        <v>14</v>
      </c>
      <c r="E39" s="3" t="s">
        <v>199</v>
      </c>
      <c r="F39" s="3" t="s">
        <v>200</v>
      </c>
      <c r="G39" s="3"/>
      <c r="H39" s="3" t="s">
        <v>201</v>
      </c>
      <c r="I39" s="4"/>
      <c r="J39" s="4"/>
      <c r="K39" s="4"/>
      <c r="L39" s="4"/>
    </row>
    <row r="40" spans="1:12" x14ac:dyDescent="0.25">
      <c r="A40" s="2" t="str">
        <f>HYPERLINK("https://www.list-org.com/company/13734569","https://www.list-org.com/company/13734569")</f>
        <v>https://www.list-org.com/company/13734569</v>
      </c>
      <c r="B40" s="3" t="s">
        <v>202</v>
      </c>
      <c r="C40" s="3" t="s">
        <v>203</v>
      </c>
      <c r="D40" s="3" t="s">
        <v>14</v>
      </c>
      <c r="E40" s="3" t="s">
        <v>204</v>
      </c>
      <c r="F40" s="3" t="s">
        <v>205</v>
      </c>
      <c r="G40" s="3"/>
      <c r="H40" s="3" t="s">
        <v>206</v>
      </c>
      <c r="I40" s="4"/>
      <c r="J40" s="4"/>
      <c r="K40" s="4"/>
      <c r="L40" s="4"/>
    </row>
    <row r="41" spans="1:12" x14ac:dyDescent="0.25">
      <c r="A41" s="2" t="str">
        <f>HYPERLINK("https://www.list-org.com/company/13734571","https://www.list-org.com/company/13734571")</f>
        <v>https://www.list-org.com/company/13734571</v>
      </c>
      <c r="B41" s="3" t="s">
        <v>207</v>
      </c>
      <c r="C41" s="3" t="s">
        <v>208</v>
      </c>
      <c r="D41" s="3" t="s">
        <v>14</v>
      </c>
      <c r="E41" s="3" t="s">
        <v>209</v>
      </c>
      <c r="F41" s="3" t="s">
        <v>210</v>
      </c>
      <c r="G41" s="3"/>
      <c r="H41" s="3" t="s">
        <v>211</v>
      </c>
      <c r="I41" s="4"/>
      <c r="J41" s="4"/>
      <c r="K41" s="4"/>
      <c r="L41" s="4"/>
    </row>
    <row r="42" spans="1:12" x14ac:dyDescent="0.25">
      <c r="A42" s="2" t="str">
        <f>HYPERLINK("https://www.list-org.com/company/13734575","https://www.list-org.com/company/13734575")</f>
        <v>https://www.list-org.com/company/13734575</v>
      </c>
      <c r="B42" s="3" t="s">
        <v>212</v>
      </c>
      <c r="C42" s="3" t="s">
        <v>213</v>
      </c>
      <c r="D42" s="3" t="s">
        <v>14</v>
      </c>
      <c r="E42" s="3" t="s">
        <v>214</v>
      </c>
      <c r="F42" s="3" t="s">
        <v>215</v>
      </c>
      <c r="G42" s="3"/>
      <c r="H42" s="3" t="s">
        <v>216</v>
      </c>
      <c r="I42" s="4"/>
      <c r="J42" s="4"/>
      <c r="K42" s="4"/>
      <c r="L42" s="4"/>
    </row>
    <row r="43" spans="1:12" x14ac:dyDescent="0.25">
      <c r="A43" s="2" t="str">
        <f>HYPERLINK("https://www.list-org.com/company/13734577","https://www.list-org.com/company/13734577")</f>
        <v>https://www.list-org.com/company/13734577</v>
      </c>
      <c r="B43" s="3" t="s">
        <v>217</v>
      </c>
      <c r="C43" s="3" t="s">
        <v>218</v>
      </c>
      <c r="D43" s="3" t="s">
        <v>14</v>
      </c>
      <c r="E43" s="3" t="s">
        <v>219</v>
      </c>
      <c r="F43" s="3" t="s">
        <v>220</v>
      </c>
      <c r="G43" s="3"/>
      <c r="H43" s="3" t="s">
        <v>221</v>
      </c>
      <c r="I43" s="4"/>
      <c r="J43" s="4"/>
      <c r="K43" s="4"/>
      <c r="L43" s="4"/>
    </row>
    <row r="44" spans="1:12" x14ac:dyDescent="0.25">
      <c r="A44" s="2" t="str">
        <f>HYPERLINK("https://www.list-org.com/company/13734588","https://www.list-org.com/company/13734588")</f>
        <v>https://www.list-org.com/company/13734588</v>
      </c>
      <c r="B44" s="3" t="s">
        <v>222</v>
      </c>
      <c r="C44" s="3" t="s">
        <v>223</v>
      </c>
      <c r="D44" s="3" t="s">
        <v>14</v>
      </c>
      <c r="E44" s="3" t="s">
        <v>224</v>
      </c>
      <c r="F44" s="3" t="s">
        <v>225</v>
      </c>
      <c r="G44" s="3"/>
      <c r="H44" s="3" t="s">
        <v>226</v>
      </c>
      <c r="I44" s="4"/>
      <c r="J44" s="4"/>
      <c r="K44" s="4"/>
      <c r="L44" s="4"/>
    </row>
    <row r="45" spans="1:12" x14ac:dyDescent="0.25">
      <c r="A45" s="2" t="str">
        <f>HYPERLINK("https://www.list-org.com/company/13734594","https://www.list-org.com/company/13734594")</f>
        <v>https://www.list-org.com/company/13734594</v>
      </c>
      <c r="B45" s="3" t="s">
        <v>227</v>
      </c>
      <c r="C45" s="3" t="s">
        <v>228</v>
      </c>
      <c r="D45" s="3" t="s">
        <v>14</v>
      </c>
      <c r="E45" s="3" t="s">
        <v>229</v>
      </c>
      <c r="F45" s="3" t="s">
        <v>230</v>
      </c>
      <c r="G45" s="3"/>
      <c r="H45" s="3" t="s">
        <v>231</v>
      </c>
      <c r="I45" s="4"/>
      <c r="J45" s="4"/>
      <c r="K45" s="4"/>
      <c r="L45" s="4"/>
    </row>
    <row r="46" spans="1:12" x14ac:dyDescent="0.25">
      <c r="A46" s="2" t="str">
        <f>HYPERLINK("https://www.list-org.com/company/13734596","https://www.list-org.com/company/13734596")</f>
        <v>https://www.list-org.com/company/13734596</v>
      </c>
      <c r="B46" s="3" t="s">
        <v>232</v>
      </c>
      <c r="C46" s="3" t="s">
        <v>233</v>
      </c>
      <c r="D46" s="3" t="s">
        <v>14</v>
      </c>
      <c r="E46" s="3" t="s">
        <v>234</v>
      </c>
      <c r="F46" s="3" t="s">
        <v>235</v>
      </c>
      <c r="G46" s="3"/>
      <c r="H46" s="3" t="s">
        <v>236</v>
      </c>
      <c r="I46" s="4"/>
      <c r="J46" s="4"/>
      <c r="K46" s="4">
        <v>3111</v>
      </c>
      <c r="L46" s="4"/>
    </row>
    <row r="47" spans="1:12" x14ac:dyDescent="0.25">
      <c r="A47" s="2" t="str">
        <f>HYPERLINK("https://www.list-org.com/company/13734600","https://www.list-org.com/company/13734600")</f>
        <v>https://www.list-org.com/company/13734600</v>
      </c>
      <c r="B47" s="3" t="s">
        <v>237</v>
      </c>
      <c r="C47" s="3" t="s">
        <v>238</v>
      </c>
      <c r="D47" s="3" t="s">
        <v>14</v>
      </c>
      <c r="E47" s="3" t="s">
        <v>239</v>
      </c>
      <c r="F47" s="3" t="s">
        <v>240</v>
      </c>
      <c r="G47" s="3"/>
      <c r="H47" s="3" t="s">
        <v>241</v>
      </c>
      <c r="I47" s="4"/>
      <c r="J47" s="4"/>
      <c r="K47" s="4"/>
      <c r="L47" s="4"/>
    </row>
    <row r="48" spans="1:12" x14ac:dyDescent="0.25">
      <c r="A48" s="2" t="str">
        <f>HYPERLINK("https://www.list-org.com/company/13734602","https://www.list-org.com/company/13734602")</f>
        <v>https://www.list-org.com/company/13734602</v>
      </c>
      <c r="B48" s="3" t="s">
        <v>242</v>
      </c>
      <c r="C48" s="3" t="s">
        <v>243</v>
      </c>
      <c r="D48" s="3" t="s">
        <v>14</v>
      </c>
      <c r="E48" s="3" t="s">
        <v>244</v>
      </c>
      <c r="F48" s="3" t="s">
        <v>245</v>
      </c>
      <c r="G48" s="3"/>
      <c r="H48" s="3" t="s">
        <v>246</v>
      </c>
      <c r="I48" s="4"/>
      <c r="J48" s="4"/>
      <c r="K48" s="4"/>
      <c r="L48" s="4"/>
    </row>
    <row r="49" spans="1:12" x14ac:dyDescent="0.25">
      <c r="A49" s="2" t="str">
        <f>HYPERLINK("https://www.list-org.com/company/13734606","https://www.list-org.com/company/13734606")</f>
        <v>https://www.list-org.com/company/13734606</v>
      </c>
      <c r="B49" s="3" t="s">
        <v>247</v>
      </c>
      <c r="C49" s="3" t="s">
        <v>248</v>
      </c>
      <c r="D49" s="3" t="s">
        <v>14</v>
      </c>
      <c r="E49" s="3" t="s">
        <v>249</v>
      </c>
      <c r="F49" s="3" t="s">
        <v>250</v>
      </c>
      <c r="G49" s="3"/>
      <c r="H49" s="3" t="s">
        <v>251</v>
      </c>
      <c r="I49" s="4"/>
      <c r="J49" s="4"/>
      <c r="K49" s="4"/>
      <c r="L49" s="4"/>
    </row>
    <row r="50" spans="1:12" x14ac:dyDescent="0.25">
      <c r="A50" s="2" t="str">
        <f>HYPERLINK("https://www.list-org.com/company/13734626","https://www.list-org.com/company/13734626")</f>
        <v>https://www.list-org.com/company/13734626</v>
      </c>
      <c r="B50" s="3" t="s">
        <v>252</v>
      </c>
      <c r="C50" s="3" t="s">
        <v>253</v>
      </c>
      <c r="D50" s="3" t="s">
        <v>14</v>
      </c>
      <c r="E50" s="3" t="s">
        <v>254</v>
      </c>
      <c r="F50" s="3" t="s">
        <v>255</v>
      </c>
      <c r="G50" s="3"/>
      <c r="H50" s="3" t="s">
        <v>256</v>
      </c>
      <c r="I50" s="4"/>
      <c r="J50" s="4"/>
      <c r="K50" s="4"/>
      <c r="L50" s="4"/>
    </row>
    <row r="51" spans="1:12" x14ac:dyDescent="0.25">
      <c r="A51" s="2" t="str">
        <f>HYPERLINK("https://www.list-org.com/company/13734627","https://www.list-org.com/company/13734627")</f>
        <v>https://www.list-org.com/company/13734627</v>
      </c>
      <c r="B51" s="3" t="s">
        <v>257</v>
      </c>
      <c r="C51" s="3" t="s">
        <v>258</v>
      </c>
      <c r="D51" s="3" t="s">
        <v>14</v>
      </c>
      <c r="E51" s="3" t="s">
        <v>259</v>
      </c>
      <c r="F51" s="3" t="s">
        <v>260</v>
      </c>
      <c r="G51" s="3"/>
      <c r="H51" s="3" t="s">
        <v>261</v>
      </c>
      <c r="I51" s="4"/>
      <c r="J51" s="4"/>
      <c r="K51" s="4"/>
      <c r="L51" s="4"/>
    </row>
    <row r="52" spans="1:12" x14ac:dyDescent="0.25">
      <c r="A52" s="2" t="str">
        <f>HYPERLINK("https://www.list-org.com/company/13734643","https://www.list-org.com/company/13734643")</f>
        <v>https://www.list-org.com/company/13734643</v>
      </c>
      <c r="B52" s="3" t="s">
        <v>262</v>
      </c>
      <c r="C52" s="3" t="s">
        <v>263</v>
      </c>
      <c r="D52" s="3" t="s">
        <v>14</v>
      </c>
      <c r="E52" s="3" t="s">
        <v>264</v>
      </c>
      <c r="F52" s="3" t="s">
        <v>265</v>
      </c>
      <c r="G52" s="3"/>
      <c r="H52" s="3" t="s">
        <v>266</v>
      </c>
      <c r="I52" s="4"/>
      <c r="J52" s="4"/>
      <c r="K52" s="4"/>
      <c r="L52" s="4"/>
    </row>
    <row r="53" spans="1:12" x14ac:dyDescent="0.25">
      <c r="A53" s="2" t="str">
        <f>HYPERLINK("https://www.list-org.com/company/13734748","https://www.list-org.com/company/13734748")</f>
        <v>https://www.list-org.com/company/13734748</v>
      </c>
      <c r="B53" s="3" t="s">
        <v>267</v>
      </c>
      <c r="C53" s="3" t="s">
        <v>268</v>
      </c>
      <c r="D53" s="3" t="s">
        <v>14</v>
      </c>
      <c r="E53" s="3" t="s">
        <v>269</v>
      </c>
      <c r="F53" s="3" t="s">
        <v>270</v>
      </c>
      <c r="G53" s="3"/>
      <c r="H53" s="3" t="s">
        <v>271</v>
      </c>
      <c r="I53" s="4"/>
      <c r="J53" s="4"/>
      <c r="K53" s="4"/>
      <c r="L53" s="4"/>
    </row>
    <row r="54" spans="1:12" x14ac:dyDescent="0.25">
      <c r="A54" s="2" t="str">
        <f>HYPERLINK("https://www.list-org.com/company/13734751","https://www.list-org.com/company/13734751")</f>
        <v>https://www.list-org.com/company/13734751</v>
      </c>
      <c r="B54" s="3" t="s">
        <v>272</v>
      </c>
      <c r="C54" s="3" t="s">
        <v>273</v>
      </c>
      <c r="D54" s="3" t="s">
        <v>14</v>
      </c>
      <c r="E54" s="3" t="s">
        <v>274</v>
      </c>
      <c r="F54" s="3" t="s">
        <v>275</v>
      </c>
      <c r="G54" s="3"/>
      <c r="H54" s="3" t="s">
        <v>276</v>
      </c>
      <c r="I54" s="4"/>
      <c r="J54" s="4"/>
      <c r="K54" s="4"/>
      <c r="L54" s="4"/>
    </row>
    <row r="55" spans="1:12" x14ac:dyDescent="0.25">
      <c r="A55" s="2" t="str">
        <f>HYPERLINK("https://www.list-org.com/company/13734753","https://www.list-org.com/company/13734753")</f>
        <v>https://www.list-org.com/company/13734753</v>
      </c>
      <c r="B55" s="3" t="s">
        <v>277</v>
      </c>
      <c r="C55" s="3" t="s">
        <v>278</v>
      </c>
      <c r="D55" s="3" t="s">
        <v>14</v>
      </c>
      <c r="E55" s="3" t="s">
        <v>279</v>
      </c>
      <c r="F55" s="3" t="s">
        <v>280</v>
      </c>
      <c r="G55" s="3"/>
      <c r="H55" s="3" t="s">
        <v>281</v>
      </c>
      <c r="I55" s="4"/>
      <c r="J55" s="4"/>
      <c r="K55" s="4"/>
      <c r="L55" s="4"/>
    </row>
    <row r="56" spans="1:12" x14ac:dyDescent="0.25">
      <c r="A56" s="2" t="str">
        <f>HYPERLINK("https://www.list-org.com/company/13734754","https://www.list-org.com/company/13734754")</f>
        <v>https://www.list-org.com/company/13734754</v>
      </c>
      <c r="B56" s="3" t="s">
        <v>282</v>
      </c>
      <c r="C56" s="3" t="s">
        <v>283</v>
      </c>
      <c r="D56" s="3" t="s">
        <v>14</v>
      </c>
      <c r="E56" s="3" t="s">
        <v>284</v>
      </c>
      <c r="F56" s="3" t="s">
        <v>285</v>
      </c>
      <c r="G56" s="3"/>
      <c r="H56" s="3" t="s">
        <v>286</v>
      </c>
      <c r="I56" s="4"/>
      <c r="J56" s="4"/>
      <c r="K56" s="4"/>
      <c r="L56" s="4"/>
    </row>
    <row r="57" spans="1:12" x14ac:dyDescent="0.25">
      <c r="A57" s="2" t="str">
        <f>HYPERLINK("https://www.list-org.com/company/13734756","https://www.list-org.com/company/13734756")</f>
        <v>https://www.list-org.com/company/13734756</v>
      </c>
      <c r="B57" s="3" t="s">
        <v>287</v>
      </c>
      <c r="C57" s="3" t="s">
        <v>288</v>
      </c>
      <c r="D57" s="3" t="s">
        <v>14</v>
      </c>
      <c r="E57" s="3" t="s">
        <v>289</v>
      </c>
      <c r="F57" s="3" t="s">
        <v>290</v>
      </c>
      <c r="G57" s="3"/>
      <c r="H57" s="3" t="s">
        <v>291</v>
      </c>
      <c r="I57" s="4"/>
      <c r="J57" s="4"/>
      <c r="K57" s="4"/>
      <c r="L57" s="4"/>
    </row>
    <row r="58" spans="1:12" x14ac:dyDescent="0.25">
      <c r="A58" s="2" t="str">
        <f>HYPERLINK("https://www.list-org.com/company/13734758","https://www.list-org.com/company/13734758")</f>
        <v>https://www.list-org.com/company/13734758</v>
      </c>
      <c r="B58" s="3" t="s">
        <v>292</v>
      </c>
      <c r="C58" s="3" t="s">
        <v>293</v>
      </c>
      <c r="D58" s="3" t="s">
        <v>14</v>
      </c>
      <c r="E58" s="3" t="s">
        <v>294</v>
      </c>
      <c r="F58" s="3" t="s">
        <v>295</v>
      </c>
      <c r="G58" s="3"/>
      <c r="H58" s="3" t="s">
        <v>296</v>
      </c>
      <c r="I58" s="4"/>
      <c r="J58" s="4"/>
      <c r="K58" s="4"/>
      <c r="L58" s="4"/>
    </row>
    <row r="59" spans="1:12" x14ac:dyDescent="0.25">
      <c r="A59" s="2" t="str">
        <f>HYPERLINK("https://www.list-org.com/company/13734760","https://www.list-org.com/company/13734760")</f>
        <v>https://www.list-org.com/company/13734760</v>
      </c>
      <c r="B59" s="3" t="s">
        <v>297</v>
      </c>
      <c r="C59" s="3" t="s">
        <v>298</v>
      </c>
      <c r="D59" s="3" t="s">
        <v>14</v>
      </c>
      <c r="E59" s="3" t="s">
        <v>299</v>
      </c>
      <c r="F59" s="3" t="s">
        <v>300</v>
      </c>
      <c r="G59" s="3"/>
      <c r="H59" s="3" t="s">
        <v>301</v>
      </c>
      <c r="I59" s="4"/>
      <c r="J59" s="4"/>
      <c r="K59" s="4"/>
      <c r="L59" s="4"/>
    </row>
    <row r="60" spans="1:12" x14ac:dyDescent="0.25">
      <c r="A60" s="2" t="str">
        <f>HYPERLINK("https://www.list-org.com/company/13734763","https://www.list-org.com/company/13734763")</f>
        <v>https://www.list-org.com/company/13734763</v>
      </c>
      <c r="B60" s="3" t="s">
        <v>302</v>
      </c>
      <c r="C60" s="3" t="s">
        <v>303</v>
      </c>
      <c r="D60" s="3" t="s">
        <v>14</v>
      </c>
      <c r="E60" s="3" t="s">
        <v>304</v>
      </c>
      <c r="F60" s="3" t="s">
        <v>305</v>
      </c>
      <c r="G60" s="3"/>
      <c r="H60" s="3" t="s">
        <v>306</v>
      </c>
      <c r="I60" s="4"/>
      <c r="J60" s="4"/>
      <c r="K60" s="4">
        <v>6033</v>
      </c>
      <c r="L60" s="4"/>
    </row>
    <row r="61" spans="1:12" x14ac:dyDescent="0.25">
      <c r="A61" s="2" t="str">
        <f>HYPERLINK("https://www.list-org.com/company/13734766","https://www.list-org.com/company/13734766")</f>
        <v>https://www.list-org.com/company/13734766</v>
      </c>
      <c r="B61" s="3" t="s">
        <v>307</v>
      </c>
      <c r="C61" s="3" t="s">
        <v>308</v>
      </c>
      <c r="D61" s="3" t="s">
        <v>14</v>
      </c>
      <c r="E61" s="3" t="s">
        <v>309</v>
      </c>
      <c r="F61" s="3" t="s">
        <v>310</v>
      </c>
      <c r="G61" s="3"/>
      <c r="H61" s="3" t="s">
        <v>311</v>
      </c>
      <c r="I61" s="4"/>
      <c r="J61" s="4"/>
      <c r="K61" s="4"/>
      <c r="L61" s="4"/>
    </row>
    <row r="62" spans="1:12" x14ac:dyDescent="0.25">
      <c r="A62" s="2" t="str">
        <f>HYPERLINK("https://www.list-org.com/company/13734771","https://www.list-org.com/company/13734771")</f>
        <v>https://www.list-org.com/company/13734771</v>
      </c>
      <c r="B62" s="3" t="s">
        <v>312</v>
      </c>
      <c r="C62" s="3" t="s">
        <v>313</v>
      </c>
      <c r="D62" s="3" t="s">
        <v>14</v>
      </c>
      <c r="E62" s="3" t="s">
        <v>314</v>
      </c>
      <c r="F62" s="3" t="s">
        <v>315</v>
      </c>
      <c r="G62" s="3"/>
      <c r="H62" s="3" t="s">
        <v>316</v>
      </c>
      <c r="I62" s="4"/>
      <c r="J62" s="4"/>
      <c r="K62" s="4"/>
      <c r="L62" s="4"/>
    </row>
    <row r="63" spans="1:12" x14ac:dyDescent="0.25">
      <c r="A63" s="2" t="str">
        <f>HYPERLINK("https://www.list-org.com/company/13734772","https://www.list-org.com/company/13734772")</f>
        <v>https://www.list-org.com/company/13734772</v>
      </c>
      <c r="B63" s="3" t="s">
        <v>317</v>
      </c>
      <c r="C63" s="3" t="s">
        <v>318</v>
      </c>
      <c r="D63" s="3" t="s">
        <v>14</v>
      </c>
      <c r="E63" s="3" t="s">
        <v>319</v>
      </c>
      <c r="F63" s="3" t="s">
        <v>320</v>
      </c>
      <c r="G63" s="3"/>
      <c r="H63" s="3" t="s">
        <v>321</v>
      </c>
      <c r="I63" s="4"/>
      <c r="J63" s="4"/>
      <c r="K63" s="4"/>
      <c r="L63" s="4"/>
    </row>
    <row r="64" spans="1:12" x14ac:dyDescent="0.25">
      <c r="A64" s="2" t="str">
        <f>HYPERLINK("https://www.list-org.com/company/13734774","https://www.list-org.com/company/13734774")</f>
        <v>https://www.list-org.com/company/13734774</v>
      </c>
      <c r="B64" s="3" t="s">
        <v>322</v>
      </c>
      <c r="C64" s="3" t="s">
        <v>323</v>
      </c>
      <c r="D64" s="3" t="s">
        <v>14</v>
      </c>
      <c r="E64" s="3" t="s">
        <v>324</v>
      </c>
      <c r="F64" s="3" t="s">
        <v>325</v>
      </c>
      <c r="G64" s="3"/>
      <c r="H64" s="3" t="s">
        <v>326</v>
      </c>
      <c r="I64" s="4"/>
      <c r="J64" s="4"/>
      <c r="K64" s="4"/>
      <c r="L64" s="4"/>
    </row>
    <row r="65" spans="1:12" x14ac:dyDescent="0.25">
      <c r="A65" s="2" t="str">
        <f>HYPERLINK("https://www.list-org.com/company/13734777","https://www.list-org.com/company/13734777")</f>
        <v>https://www.list-org.com/company/13734777</v>
      </c>
      <c r="B65" s="3" t="s">
        <v>327</v>
      </c>
      <c r="C65" s="3" t="s">
        <v>328</v>
      </c>
      <c r="D65" s="3" t="s">
        <v>14</v>
      </c>
      <c r="E65" s="3" t="s">
        <v>329</v>
      </c>
      <c r="F65" s="3" t="s">
        <v>330</v>
      </c>
      <c r="G65" s="3"/>
      <c r="H65" s="3" t="s">
        <v>331</v>
      </c>
      <c r="I65" s="4"/>
      <c r="J65" s="4"/>
      <c r="K65" s="4"/>
      <c r="L65" s="4"/>
    </row>
    <row r="66" spans="1:12" x14ac:dyDescent="0.25">
      <c r="A66" s="2" t="str">
        <f>HYPERLINK("https://www.list-org.com/company/13734862","https://www.list-org.com/company/13734862")</f>
        <v>https://www.list-org.com/company/13734862</v>
      </c>
      <c r="B66" s="3" t="s">
        <v>332</v>
      </c>
      <c r="C66" s="3" t="s">
        <v>333</v>
      </c>
      <c r="D66" s="3" t="s">
        <v>14</v>
      </c>
      <c r="E66" s="3" t="s">
        <v>334</v>
      </c>
      <c r="F66" s="3" t="s">
        <v>335</v>
      </c>
      <c r="G66" s="3"/>
      <c r="H66" s="3" t="s">
        <v>336</v>
      </c>
      <c r="I66" s="4"/>
      <c r="J66" s="4"/>
      <c r="K66" s="4"/>
      <c r="L66" s="4"/>
    </row>
    <row r="67" spans="1:12" x14ac:dyDescent="0.25">
      <c r="A67" s="2" t="str">
        <f>HYPERLINK("https://www.list-org.com/company/13734995","https://www.list-org.com/company/13734995")</f>
        <v>https://www.list-org.com/company/13734995</v>
      </c>
      <c r="B67" s="3" t="s">
        <v>337</v>
      </c>
      <c r="C67" s="3" t="s">
        <v>338</v>
      </c>
      <c r="D67" s="3" t="s">
        <v>14</v>
      </c>
      <c r="E67" s="3" t="s">
        <v>339</v>
      </c>
      <c r="F67" s="3" t="s">
        <v>340</v>
      </c>
      <c r="G67" s="3"/>
      <c r="H67" s="3" t="s">
        <v>341</v>
      </c>
      <c r="I67" s="4"/>
      <c r="J67" s="4"/>
      <c r="K67" s="4"/>
      <c r="L67" s="4"/>
    </row>
    <row r="68" spans="1:12" x14ac:dyDescent="0.25">
      <c r="A68" s="2" t="str">
        <f>HYPERLINK("https://www.list-org.com/company/13735256","https://www.list-org.com/company/13735256")</f>
        <v>https://www.list-org.com/company/13735256</v>
      </c>
      <c r="B68" s="3" t="s">
        <v>342</v>
      </c>
      <c r="C68" s="3" t="s">
        <v>343</v>
      </c>
      <c r="D68" s="3" t="s">
        <v>14</v>
      </c>
      <c r="E68" s="3" t="s">
        <v>344</v>
      </c>
      <c r="F68" s="3" t="s">
        <v>345</v>
      </c>
      <c r="G68" s="3"/>
      <c r="H68" s="3" t="s">
        <v>346</v>
      </c>
      <c r="I68" s="4"/>
      <c r="J68" s="4"/>
      <c r="K68" s="4"/>
      <c r="L68" s="4"/>
    </row>
    <row r="69" spans="1:12" x14ac:dyDescent="0.25">
      <c r="A69" s="2" t="str">
        <f>HYPERLINK("https://www.list-org.com/company/13765147","https://www.list-org.com/company/13765147")</f>
        <v>https://www.list-org.com/company/13765147</v>
      </c>
      <c r="B69" s="3" t="s">
        <v>347</v>
      </c>
      <c r="C69" s="3" t="s">
        <v>348</v>
      </c>
      <c r="D69" s="3" t="s">
        <v>14</v>
      </c>
      <c r="E69" s="3" t="s">
        <v>349</v>
      </c>
      <c r="F69" s="3" t="s">
        <v>350</v>
      </c>
      <c r="G69" s="3"/>
      <c r="H69" s="3" t="s">
        <v>351</v>
      </c>
      <c r="I69" s="4"/>
      <c r="J69" s="4"/>
      <c r="K69" s="4">
        <v>1396</v>
      </c>
      <c r="L69" s="4"/>
    </row>
    <row r="70" spans="1:12" x14ac:dyDescent="0.25">
      <c r="A70" s="2" t="str">
        <f>HYPERLINK("https://www.list-org.com/company/13765149","https://www.list-org.com/company/13765149")</f>
        <v>https://www.list-org.com/company/13765149</v>
      </c>
      <c r="B70" s="3" t="s">
        <v>352</v>
      </c>
      <c r="C70" s="3" t="s">
        <v>353</v>
      </c>
      <c r="D70" s="3" t="s">
        <v>14</v>
      </c>
      <c r="E70" s="3" t="s">
        <v>354</v>
      </c>
      <c r="F70" s="3" t="s">
        <v>355</v>
      </c>
      <c r="G70" s="3"/>
      <c r="H70" s="3" t="s">
        <v>356</v>
      </c>
      <c r="I70" s="4"/>
      <c r="J70" s="4"/>
      <c r="K70" s="4"/>
      <c r="L70" s="4"/>
    </row>
    <row r="71" spans="1:12" x14ac:dyDescent="0.25">
      <c r="A71" s="2" t="str">
        <f>HYPERLINK("https://www.list-org.com/company/13765174","https://www.list-org.com/company/13765174")</f>
        <v>https://www.list-org.com/company/13765174</v>
      </c>
      <c r="B71" s="3" t="s">
        <v>357</v>
      </c>
      <c r="C71" s="3" t="s">
        <v>358</v>
      </c>
      <c r="D71" s="3" t="s">
        <v>14</v>
      </c>
      <c r="E71" s="3" t="s">
        <v>359</v>
      </c>
      <c r="F71" s="3" t="s">
        <v>360</v>
      </c>
      <c r="G71" s="3"/>
      <c r="H71" s="3" t="s">
        <v>96</v>
      </c>
      <c r="I71" s="4"/>
      <c r="J71" s="4"/>
      <c r="K71" s="4"/>
      <c r="L71" s="4"/>
    </row>
    <row r="72" spans="1:12" x14ac:dyDescent="0.25">
      <c r="A72" s="2" t="str">
        <f>HYPERLINK("https://www.list-org.com/company/13765178","https://www.list-org.com/company/13765178")</f>
        <v>https://www.list-org.com/company/13765178</v>
      </c>
      <c r="B72" s="3" t="s">
        <v>361</v>
      </c>
      <c r="C72" s="3" t="s">
        <v>362</v>
      </c>
      <c r="D72" s="3" t="s">
        <v>14</v>
      </c>
      <c r="E72" s="3" t="s">
        <v>363</v>
      </c>
      <c r="F72" s="3" t="s">
        <v>364</v>
      </c>
      <c r="G72" s="3"/>
      <c r="H72" s="3" t="s">
        <v>365</v>
      </c>
      <c r="I72" s="4"/>
      <c r="J72" s="4"/>
      <c r="K72" s="4"/>
      <c r="L72" s="4"/>
    </row>
    <row r="73" spans="1:12" x14ac:dyDescent="0.25">
      <c r="A73" s="2" t="str">
        <f>HYPERLINK("https://www.list-org.com/company/13765207","https://www.list-org.com/company/13765207")</f>
        <v>https://www.list-org.com/company/13765207</v>
      </c>
      <c r="B73" s="3" t="s">
        <v>366</v>
      </c>
      <c r="C73" s="3" t="s">
        <v>367</v>
      </c>
      <c r="D73" s="3" t="s">
        <v>14</v>
      </c>
      <c r="E73" s="3" t="s">
        <v>368</v>
      </c>
      <c r="F73" s="3" t="s">
        <v>369</v>
      </c>
      <c r="G73" s="3"/>
      <c r="H73" s="3" t="s">
        <v>370</v>
      </c>
      <c r="I73" s="4"/>
      <c r="J73" s="4"/>
      <c r="K73" s="4"/>
      <c r="L73" s="4"/>
    </row>
    <row r="74" spans="1:12" x14ac:dyDescent="0.25">
      <c r="A74" s="2" t="str">
        <f>HYPERLINK("https://www.list-org.com/company/13774076","https://www.list-org.com/company/13774076")</f>
        <v>https://www.list-org.com/company/13774076</v>
      </c>
      <c r="B74" s="3" t="s">
        <v>371</v>
      </c>
      <c r="C74" s="3" t="s">
        <v>372</v>
      </c>
      <c r="D74" s="3" t="s">
        <v>14</v>
      </c>
      <c r="E74" s="3" t="s">
        <v>373</v>
      </c>
      <c r="F74" s="3" t="s">
        <v>374</v>
      </c>
      <c r="G74" s="3"/>
      <c r="H74" s="3" t="s">
        <v>375</v>
      </c>
      <c r="I74" s="4"/>
      <c r="J74" s="4"/>
      <c r="K74" s="4"/>
      <c r="L74" s="4"/>
    </row>
    <row r="75" spans="1:12" x14ac:dyDescent="0.25">
      <c r="A75" s="2" t="str">
        <f>HYPERLINK("https://www.list-org.com/company/13774077","https://www.list-org.com/company/13774077")</f>
        <v>https://www.list-org.com/company/13774077</v>
      </c>
      <c r="B75" s="3" t="s">
        <v>376</v>
      </c>
      <c r="C75" s="3" t="s">
        <v>377</v>
      </c>
      <c r="D75" s="3" t="s">
        <v>14</v>
      </c>
      <c r="E75" s="3" t="s">
        <v>378</v>
      </c>
      <c r="F75" s="3" t="s">
        <v>379</v>
      </c>
      <c r="G75" s="3"/>
      <c r="H75" s="3" t="s">
        <v>380</v>
      </c>
      <c r="I75" s="4"/>
      <c r="J75" s="4"/>
      <c r="K75" s="4"/>
      <c r="L75" s="4"/>
    </row>
    <row r="76" spans="1:12" x14ac:dyDescent="0.25">
      <c r="A76" s="2" t="str">
        <f>HYPERLINK("https://www.list-org.com/company/13774085","https://www.list-org.com/company/13774085")</f>
        <v>https://www.list-org.com/company/13774085</v>
      </c>
      <c r="B76" s="3" t="s">
        <v>381</v>
      </c>
      <c r="C76" s="3" t="s">
        <v>382</v>
      </c>
      <c r="D76" s="3" t="s">
        <v>14</v>
      </c>
      <c r="E76" s="3" t="s">
        <v>383</v>
      </c>
      <c r="F76" s="3" t="s">
        <v>384</v>
      </c>
      <c r="G76" s="3"/>
      <c r="H76" s="3" t="s">
        <v>385</v>
      </c>
      <c r="I76" s="4"/>
      <c r="J76" s="4"/>
      <c r="K76" s="4"/>
      <c r="L76" s="4"/>
    </row>
    <row r="77" spans="1:12" x14ac:dyDescent="0.25">
      <c r="A77" s="2" t="str">
        <f>HYPERLINK("https://www.list-org.com/company/13774086","https://www.list-org.com/company/13774086")</f>
        <v>https://www.list-org.com/company/13774086</v>
      </c>
      <c r="B77" s="3" t="s">
        <v>386</v>
      </c>
      <c r="C77" s="3" t="s">
        <v>387</v>
      </c>
      <c r="D77" s="3" t="s">
        <v>14</v>
      </c>
      <c r="E77" s="3" t="s">
        <v>388</v>
      </c>
      <c r="F77" s="3" t="s">
        <v>389</v>
      </c>
      <c r="G77" s="3"/>
      <c r="H77" s="3" t="s">
        <v>390</v>
      </c>
      <c r="I77" s="4"/>
      <c r="J77" s="4"/>
      <c r="K77" s="4"/>
      <c r="L77" s="4"/>
    </row>
    <row r="78" spans="1:12" x14ac:dyDescent="0.25">
      <c r="A78" s="2" t="str">
        <f>HYPERLINK("https://www.list-org.com/company/13776906","https://www.list-org.com/company/13776906")</f>
        <v>https://www.list-org.com/company/13776906</v>
      </c>
      <c r="B78" s="3" t="s">
        <v>391</v>
      </c>
      <c r="C78" s="3" t="s">
        <v>392</v>
      </c>
      <c r="D78" s="3" t="s">
        <v>14</v>
      </c>
      <c r="E78" s="3" t="s">
        <v>393</v>
      </c>
      <c r="F78" s="3" t="s">
        <v>394</v>
      </c>
      <c r="G78" s="3"/>
      <c r="H78" s="3" t="s">
        <v>395</v>
      </c>
      <c r="I78" s="4"/>
      <c r="J78" s="4"/>
      <c r="K78" s="4"/>
      <c r="L78" s="4"/>
    </row>
    <row r="79" spans="1:12" x14ac:dyDescent="0.25">
      <c r="A79" s="2" t="str">
        <f>HYPERLINK("https://www.list-org.com/company/13777484","https://www.list-org.com/company/13777484")</f>
        <v>https://www.list-org.com/company/13777484</v>
      </c>
      <c r="B79" s="3" t="s">
        <v>396</v>
      </c>
      <c r="C79" s="3" t="s">
        <v>397</v>
      </c>
      <c r="D79" s="3" t="s">
        <v>14</v>
      </c>
      <c r="E79" s="3" t="s">
        <v>398</v>
      </c>
      <c r="F79" s="3" t="s">
        <v>399</v>
      </c>
      <c r="G79" s="3"/>
      <c r="H79" s="3" t="s">
        <v>400</v>
      </c>
      <c r="I79" s="4"/>
      <c r="J79" s="4"/>
      <c r="K79" s="4"/>
      <c r="L79" s="4"/>
    </row>
    <row r="80" spans="1:12" x14ac:dyDescent="0.25">
      <c r="A80" s="2" t="str">
        <f>HYPERLINK("https://www.list-org.com/company/14023235","https://www.list-org.com/company/14023235")</f>
        <v>https://www.list-org.com/company/14023235</v>
      </c>
      <c r="B80" s="3" t="s">
        <v>401</v>
      </c>
      <c r="C80" s="3" t="s">
        <v>402</v>
      </c>
      <c r="D80" s="3" t="s">
        <v>14</v>
      </c>
      <c r="E80" s="3" t="s">
        <v>403</v>
      </c>
      <c r="F80" s="3" t="s">
        <v>404</v>
      </c>
      <c r="G80" s="3"/>
      <c r="H80" s="3" t="s">
        <v>405</v>
      </c>
      <c r="I80" s="4"/>
      <c r="J80" s="4"/>
      <c r="K80" s="4"/>
      <c r="L80" s="4"/>
    </row>
    <row r="81" spans="1:12" x14ac:dyDescent="0.25">
      <c r="A81" s="2" t="str">
        <f>HYPERLINK("https://www.list-org.com/company/14052934","https://www.list-org.com/company/14052934")</f>
        <v>https://www.list-org.com/company/14052934</v>
      </c>
      <c r="B81" s="3" t="s">
        <v>406</v>
      </c>
      <c r="C81" s="3" t="s">
        <v>407</v>
      </c>
      <c r="D81" s="3" t="s">
        <v>14</v>
      </c>
      <c r="E81" s="3" t="s">
        <v>408</v>
      </c>
      <c r="F81" s="3" t="s">
        <v>409</v>
      </c>
      <c r="G81" s="3"/>
      <c r="H81" s="3" t="s">
        <v>410</v>
      </c>
      <c r="I81" s="4"/>
      <c r="J81" s="4"/>
      <c r="K81" s="4"/>
      <c r="L81" s="4"/>
    </row>
    <row r="82" spans="1:12" x14ac:dyDescent="0.25">
      <c r="A82" s="2" t="str">
        <f>HYPERLINK("https://www.list-org.com/company/14142731","https://www.list-org.com/company/14142731")</f>
        <v>https://www.list-org.com/company/14142731</v>
      </c>
      <c r="B82" s="3" t="s">
        <v>411</v>
      </c>
      <c r="C82" s="3" t="s">
        <v>412</v>
      </c>
      <c r="D82" s="3" t="s">
        <v>14</v>
      </c>
      <c r="E82" s="3" t="s">
        <v>413</v>
      </c>
      <c r="F82" s="3" t="s">
        <v>414</v>
      </c>
      <c r="G82" s="3"/>
      <c r="H82" s="3" t="s">
        <v>415</v>
      </c>
      <c r="I82" s="4"/>
      <c r="J82" s="4"/>
      <c r="K82" s="4"/>
      <c r="L82" s="4"/>
    </row>
    <row r="83" spans="1:12" x14ac:dyDescent="0.25">
      <c r="A83" s="2" t="str">
        <f>HYPERLINK("https://www.list-org.com/company/14144287","https://www.list-org.com/company/14144287")</f>
        <v>https://www.list-org.com/company/14144287</v>
      </c>
      <c r="B83" s="3" t="s">
        <v>416</v>
      </c>
      <c r="C83" s="3" t="s">
        <v>417</v>
      </c>
      <c r="D83" s="3" t="s">
        <v>14</v>
      </c>
      <c r="E83" s="3" t="s">
        <v>418</v>
      </c>
      <c r="F83" s="3" t="s">
        <v>419</v>
      </c>
      <c r="G83" s="3"/>
      <c r="H83" s="3" t="s">
        <v>420</v>
      </c>
      <c r="I83" s="4"/>
      <c r="J83" s="4"/>
      <c r="K83" s="4"/>
      <c r="L83" s="4"/>
    </row>
    <row r="84" spans="1:12" x14ac:dyDescent="0.25">
      <c r="A84" s="2" t="str">
        <f>HYPERLINK("https://www.list-org.com/company/14233200","https://www.list-org.com/company/14233200")</f>
        <v>https://www.list-org.com/company/14233200</v>
      </c>
      <c r="B84" s="3" t="s">
        <v>421</v>
      </c>
      <c r="C84" s="3" t="s">
        <v>422</v>
      </c>
      <c r="D84" s="3" t="s">
        <v>14</v>
      </c>
      <c r="E84" s="3" t="s">
        <v>423</v>
      </c>
      <c r="F84" s="3" t="s">
        <v>424</v>
      </c>
      <c r="G84" s="3"/>
      <c r="H84" s="3" t="s">
        <v>425</v>
      </c>
      <c r="I84" s="4"/>
      <c r="J84" s="4"/>
      <c r="K84" s="4"/>
      <c r="L84" s="4"/>
    </row>
    <row r="85" spans="1:12" x14ac:dyDescent="0.25">
      <c r="A85" s="2" t="str">
        <f>HYPERLINK("https://www.list-org.com/company/14333073","https://www.list-org.com/company/14333073")</f>
        <v>https://www.list-org.com/company/14333073</v>
      </c>
      <c r="B85" s="3" t="s">
        <v>426</v>
      </c>
      <c r="C85" s="3" t="s">
        <v>427</v>
      </c>
      <c r="D85" s="3" t="s">
        <v>14</v>
      </c>
      <c r="E85" s="3" t="s">
        <v>428</v>
      </c>
      <c r="F85" s="3" t="s">
        <v>429</v>
      </c>
      <c r="G85" s="3"/>
      <c r="H85" s="3" t="s">
        <v>106</v>
      </c>
      <c r="I85" s="4"/>
      <c r="J85" s="4"/>
      <c r="K85" s="4"/>
      <c r="L85" s="4"/>
    </row>
    <row r="86" spans="1:12" x14ac:dyDescent="0.25">
      <c r="A86" s="2" t="str">
        <f>HYPERLINK("https://www.list-org.com/company/14333661","https://www.list-org.com/company/14333661")</f>
        <v>https://www.list-org.com/company/14333661</v>
      </c>
      <c r="B86" s="3" t="s">
        <v>430</v>
      </c>
      <c r="C86" s="3" t="s">
        <v>430</v>
      </c>
      <c r="D86" s="3" t="s">
        <v>14</v>
      </c>
      <c r="E86" s="3" t="s">
        <v>431</v>
      </c>
      <c r="F86" s="3" t="s">
        <v>432</v>
      </c>
      <c r="G86" s="3"/>
      <c r="H86" s="3" t="s">
        <v>433</v>
      </c>
      <c r="I86" s="4"/>
      <c r="J86" s="4"/>
      <c r="K86" s="4"/>
      <c r="L86" s="4"/>
    </row>
    <row r="87" spans="1:12" x14ac:dyDescent="0.25">
      <c r="A87" s="2" t="str">
        <f>HYPERLINK("https://www.list-org.com/company/14333685","https://www.list-org.com/company/14333685")</f>
        <v>https://www.list-org.com/company/14333685</v>
      </c>
      <c r="B87" s="3" t="s">
        <v>434</v>
      </c>
      <c r="C87" s="3" t="s">
        <v>434</v>
      </c>
      <c r="D87" s="3" t="s">
        <v>14</v>
      </c>
      <c r="E87" s="3" t="s">
        <v>435</v>
      </c>
      <c r="F87" s="3" t="s">
        <v>436</v>
      </c>
      <c r="G87" s="3"/>
      <c r="H87" s="3" t="s">
        <v>437</v>
      </c>
      <c r="I87" s="4"/>
      <c r="J87" s="4"/>
      <c r="K87" s="4"/>
      <c r="L87" s="4"/>
    </row>
    <row r="88" spans="1:12" x14ac:dyDescent="0.25">
      <c r="A88" s="2" t="str">
        <f>HYPERLINK("https://www.list-org.com/company/14342507","https://www.list-org.com/company/14342507")</f>
        <v>https://www.list-org.com/company/14342507</v>
      </c>
      <c r="B88" s="3" t="s">
        <v>438</v>
      </c>
      <c r="C88" s="3" t="s">
        <v>439</v>
      </c>
      <c r="D88" s="3" t="s">
        <v>14</v>
      </c>
      <c r="E88" s="3" t="s">
        <v>440</v>
      </c>
      <c r="F88" s="3" t="s">
        <v>441</v>
      </c>
      <c r="G88" s="3"/>
      <c r="H88" s="3" t="s">
        <v>442</v>
      </c>
      <c r="I88" s="4"/>
      <c r="J88" s="4"/>
      <c r="K88" s="4"/>
      <c r="L88" s="4"/>
    </row>
    <row r="89" spans="1:12" x14ac:dyDescent="0.25">
      <c r="A89" s="2" t="str">
        <f>HYPERLINK("https://www.list-org.com/company/14355129","https://www.list-org.com/company/14355129")</f>
        <v>https://www.list-org.com/company/14355129</v>
      </c>
      <c r="B89" s="3" t="s">
        <v>443</v>
      </c>
      <c r="C89" s="3" t="s">
        <v>443</v>
      </c>
      <c r="D89" s="3" t="s">
        <v>14</v>
      </c>
      <c r="E89" s="3" t="s">
        <v>444</v>
      </c>
      <c r="F89" s="3" t="s">
        <v>445</v>
      </c>
      <c r="G89" s="3"/>
      <c r="H89" s="3" t="s">
        <v>433</v>
      </c>
      <c r="I89" s="4"/>
      <c r="J89" s="4"/>
      <c r="K89" s="4"/>
      <c r="L89" s="4"/>
    </row>
    <row r="90" spans="1:12" x14ac:dyDescent="0.25">
      <c r="A90" s="2" t="str">
        <f>HYPERLINK("https://www.list-org.com/company/14355174","https://www.list-org.com/company/14355174")</f>
        <v>https://www.list-org.com/company/14355174</v>
      </c>
      <c r="B90" s="3" t="s">
        <v>446</v>
      </c>
      <c r="C90" s="3" t="s">
        <v>447</v>
      </c>
      <c r="D90" s="3" t="s">
        <v>14</v>
      </c>
      <c r="E90" s="3" t="s">
        <v>448</v>
      </c>
      <c r="F90" s="3" t="s">
        <v>449</v>
      </c>
      <c r="G90" s="3"/>
      <c r="H90" s="3" t="s">
        <v>450</v>
      </c>
      <c r="I90" s="4"/>
      <c r="J90" s="4"/>
      <c r="K90" s="4"/>
      <c r="L90" s="4"/>
    </row>
    <row r="91" spans="1:12" x14ac:dyDescent="0.25">
      <c r="A91" s="2" t="str">
        <f>HYPERLINK("https://www.list-org.com/company/14355176","https://www.list-org.com/company/14355176")</f>
        <v>https://www.list-org.com/company/14355176</v>
      </c>
      <c r="B91" s="3" t="s">
        <v>451</v>
      </c>
      <c r="C91" s="3" t="s">
        <v>452</v>
      </c>
      <c r="D91" s="3" t="s">
        <v>14</v>
      </c>
      <c r="E91" s="3" t="s">
        <v>453</v>
      </c>
      <c r="F91" s="3" t="s">
        <v>454</v>
      </c>
      <c r="G91" s="3"/>
      <c r="H91" s="3" t="s">
        <v>455</v>
      </c>
      <c r="I91" s="4"/>
      <c r="J91" s="4"/>
      <c r="K91" s="4"/>
      <c r="L91" s="4"/>
    </row>
    <row r="92" spans="1:12" x14ac:dyDescent="0.25">
      <c r="A92" s="2" t="str">
        <f>HYPERLINK("https://www.list-org.com/company/14378155","https://www.list-org.com/company/14378155")</f>
        <v>https://www.list-org.com/company/14378155</v>
      </c>
      <c r="B92" s="3" t="s">
        <v>456</v>
      </c>
      <c r="C92" s="3" t="s">
        <v>457</v>
      </c>
      <c r="D92" s="3" t="s">
        <v>14</v>
      </c>
      <c r="E92" s="3" t="s">
        <v>458</v>
      </c>
      <c r="F92" s="3" t="s">
        <v>459</v>
      </c>
      <c r="G92" s="3"/>
      <c r="H92" s="3" t="s">
        <v>370</v>
      </c>
      <c r="I92" s="4"/>
      <c r="J92" s="4"/>
      <c r="K92" s="4"/>
      <c r="L92" s="4"/>
    </row>
    <row r="93" spans="1:12" x14ac:dyDescent="0.25">
      <c r="A93" s="2" t="str">
        <f>HYPERLINK("https://www.list-org.com/company/14384489","https://www.list-org.com/company/14384489")</f>
        <v>https://www.list-org.com/company/14384489</v>
      </c>
      <c r="B93" s="3" t="s">
        <v>460</v>
      </c>
      <c r="C93" s="3" t="s">
        <v>461</v>
      </c>
      <c r="D93" s="3" t="s">
        <v>14</v>
      </c>
      <c r="E93" s="3" t="s">
        <v>462</v>
      </c>
      <c r="F93" s="3" t="s">
        <v>463</v>
      </c>
      <c r="G93" s="3"/>
      <c r="H93" s="3" t="s">
        <v>464</v>
      </c>
      <c r="I93" s="4"/>
      <c r="J93" s="4"/>
      <c r="K93" s="4"/>
      <c r="L93" s="4"/>
    </row>
    <row r="94" spans="1:12" x14ac:dyDescent="0.25">
      <c r="A94" s="2" t="str">
        <f>HYPERLINK("https://www.list-org.com/company/14497114","https://www.list-org.com/company/14497114")</f>
        <v>https://www.list-org.com/company/14497114</v>
      </c>
      <c r="B94" s="3" t="s">
        <v>465</v>
      </c>
      <c r="C94" s="3" t="s">
        <v>466</v>
      </c>
      <c r="D94" s="3" t="s">
        <v>14</v>
      </c>
      <c r="E94" s="3" t="s">
        <v>467</v>
      </c>
      <c r="F94" s="3" t="s">
        <v>468</v>
      </c>
      <c r="G94" s="3"/>
      <c r="H94" s="3" t="s">
        <v>469</v>
      </c>
      <c r="I94" s="4"/>
      <c r="J94" s="4"/>
      <c r="K94" s="4"/>
      <c r="L94" s="4"/>
    </row>
    <row r="95" spans="1:12" x14ac:dyDescent="0.25">
      <c r="A95" s="2" t="str">
        <f>HYPERLINK("https://www.list-org.com/company/14497541","https://www.list-org.com/company/14497541")</f>
        <v>https://www.list-org.com/company/14497541</v>
      </c>
      <c r="B95" s="3" t="s">
        <v>470</v>
      </c>
      <c r="C95" s="3" t="s">
        <v>471</v>
      </c>
      <c r="D95" s="3" t="s">
        <v>14</v>
      </c>
      <c r="E95" s="3" t="s">
        <v>472</v>
      </c>
      <c r="F95" s="3" t="s">
        <v>473</v>
      </c>
      <c r="G95" s="3"/>
      <c r="H95" s="3" t="s">
        <v>106</v>
      </c>
      <c r="I95" s="4"/>
      <c r="J95" s="4"/>
      <c r="K95" s="4"/>
      <c r="L95" s="4"/>
    </row>
    <row r="96" spans="1:12" x14ac:dyDescent="0.25">
      <c r="A96" s="2" t="str">
        <f>HYPERLINK("https://www.list-org.com/company/14497545","https://www.list-org.com/company/14497545")</f>
        <v>https://www.list-org.com/company/14497545</v>
      </c>
      <c r="B96" s="3" t="s">
        <v>474</v>
      </c>
      <c r="C96" s="3" t="s">
        <v>475</v>
      </c>
      <c r="D96" s="3" t="s">
        <v>14</v>
      </c>
      <c r="E96" s="3" t="s">
        <v>476</v>
      </c>
      <c r="F96" s="3" t="s">
        <v>477</v>
      </c>
      <c r="G96" s="3"/>
      <c r="H96" s="3" t="s">
        <v>478</v>
      </c>
      <c r="I96" s="4"/>
      <c r="J96" s="4"/>
      <c r="K96" s="4"/>
      <c r="L96" s="4"/>
    </row>
    <row r="97" spans="1:12" x14ac:dyDescent="0.25">
      <c r="A97" s="2" t="str">
        <f>HYPERLINK("https://www.list-org.com/company/14497549","https://www.list-org.com/company/14497549")</f>
        <v>https://www.list-org.com/company/14497549</v>
      </c>
      <c r="B97" s="3" t="s">
        <v>479</v>
      </c>
      <c r="C97" s="3" t="s">
        <v>480</v>
      </c>
      <c r="D97" s="3" t="s">
        <v>14</v>
      </c>
      <c r="E97" s="3" t="s">
        <v>481</v>
      </c>
      <c r="F97" s="3" t="s">
        <v>482</v>
      </c>
      <c r="G97" s="3"/>
      <c r="H97" s="3" t="s">
        <v>483</v>
      </c>
      <c r="I97" s="4"/>
      <c r="J97" s="4"/>
      <c r="K97" s="4"/>
      <c r="L97" s="4"/>
    </row>
    <row r="98" spans="1:12" x14ac:dyDescent="0.25">
      <c r="A98" s="2" t="str">
        <f>HYPERLINK("https://www.list-org.com/company/14497555","https://www.list-org.com/company/14497555")</f>
        <v>https://www.list-org.com/company/14497555</v>
      </c>
      <c r="B98" s="3" t="s">
        <v>484</v>
      </c>
      <c r="C98" s="3" t="s">
        <v>485</v>
      </c>
      <c r="D98" s="3" t="s">
        <v>14</v>
      </c>
      <c r="E98" s="3" t="s">
        <v>486</v>
      </c>
      <c r="F98" s="3" t="s">
        <v>487</v>
      </c>
      <c r="G98" s="3"/>
      <c r="H98" s="3" t="s">
        <v>488</v>
      </c>
      <c r="I98" s="4"/>
      <c r="J98" s="4"/>
      <c r="K98" s="4"/>
      <c r="L98" s="4"/>
    </row>
    <row r="99" spans="1:12" x14ac:dyDescent="0.25">
      <c r="A99" s="2" t="str">
        <f>HYPERLINK("https://www.list-org.com/company/14498855","https://www.list-org.com/company/14498855")</f>
        <v>https://www.list-org.com/company/14498855</v>
      </c>
      <c r="B99" s="3" t="s">
        <v>489</v>
      </c>
      <c r="C99" s="3" t="s">
        <v>489</v>
      </c>
      <c r="D99" s="3" t="s">
        <v>14</v>
      </c>
      <c r="E99" s="3" t="s">
        <v>490</v>
      </c>
      <c r="F99" s="3" t="s">
        <v>491</v>
      </c>
      <c r="G99" s="3"/>
      <c r="H99" s="3" t="s">
        <v>492</v>
      </c>
      <c r="I99" s="4"/>
      <c r="J99" s="4"/>
      <c r="K99" s="4"/>
      <c r="L99" s="4"/>
    </row>
    <row r="100" spans="1:12" x14ac:dyDescent="0.25">
      <c r="A100" s="2" t="str">
        <f>HYPERLINK("https://www.list-org.com/company/14521487","https://www.list-org.com/company/14521487")</f>
        <v>https://www.list-org.com/company/14521487</v>
      </c>
      <c r="B100" s="3" t="s">
        <v>493</v>
      </c>
      <c r="C100" s="3" t="s">
        <v>494</v>
      </c>
      <c r="D100" s="3" t="s">
        <v>14</v>
      </c>
      <c r="E100" s="3" t="s">
        <v>495</v>
      </c>
      <c r="F100" s="3" t="s">
        <v>496</v>
      </c>
      <c r="G100" s="3"/>
      <c r="H100" s="3" t="s">
        <v>497</v>
      </c>
      <c r="I100" s="4"/>
      <c r="J100" s="4"/>
      <c r="K100" s="4"/>
      <c r="L100" s="4"/>
    </row>
    <row r="101" spans="1:12" x14ac:dyDescent="0.25">
      <c r="A101" s="2" t="str">
        <f>HYPERLINK("https://www.list-org.com/company/14542912","https://www.list-org.com/company/14542912")</f>
        <v>https://www.list-org.com/company/14542912</v>
      </c>
      <c r="B101" s="3" t="s">
        <v>498</v>
      </c>
      <c r="C101" s="3" t="s">
        <v>499</v>
      </c>
      <c r="D101" s="3" t="s">
        <v>14</v>
      </c>
      <c r="E101" s="3" t="s">
        <v>500</v>
      </c>
      <c r="F101" s="3" t="s">
        <v>501</v>
      </c>
      <c r="G101" s="3"/>
      <c r="H101" s="3" t="s">
        <v>488</v>
      </c>
      <c r="I101" s="4"/>
      <c r="J101" s="4"/>
      <c r="K101" s="4"/>
      <c r="L101" s="4"/>
    </row>
    <row r="102" spans="1:12" x14ac:dyDescent="0.25">
      <c r="A102" s="2" t="str">
        <f>HYPERLINK("https://www.list-org.com/company/14555004","https://www.list-org.com/company/14555004")</f>
        <v>https://www.list-org.com/company/14555004</v>
      </c>
      <c r="B102" s="3" t="s">
        <v>502</v>
      </c>
      <c r="C102" s="3" t="s">
        <v>502</v>
      </c>
      <c r="D102" s="3" t="s">
        <v>14</v>
      </c>
      <c r="E102" s="3" t="s">
        <v>503</v>
      </c>
      <c r="F102" s="3" t="s">
        <v>504</v>
      </c>
      <c r="G102" s="3"/>
      <c r="H102" s="3" t="s">
        <v>505</v>
      </c>
      <c r="I102" s="4"/>
      <c r="J102" s="4"/>
      <c r="K102" s="4"/>
      <c r="L102" s="4"/>
    </row>
    <row r="103" spans="1:12" x14ac:dyDescent="0.25">
      <c r="A103" s="2" t="str">
        <f>HYPERLINK("https://www.list-org.com/company/14555041","https://www.list-org.com/company/14555041")</f>
        <v>https://www.list-org.com/company/14555041</v>
      </c>
      <c r="B103" s="3" t="s">
        <v>506</v>
      </c>
      <c r="C103" s="3" t="s">
        <v>507</v>
      </c>
      <c r="D103" s="3" t="s">
        <v>14</v>
      </c>
      <c r="E103" s="3" t="s">
        <v>508</v>
      </c>
      <c r="F103" s="3" t="s">
        <v>509</v>
      </c>
      <c r="G103" s="3"/>
      <c r="H103" s="3" t="s">
        <v>510</v>
      </c>
      <c r="I103" s="4"/>
      <c r="J103" s="4"/>
      <c r="K103" s="4"/>
      <c r="L103" s="4"/>
    </row>
    <row r="104" spans="1:12" x14ac:dyDescent="0.25">
      <c r="A104" s="2" t="str">
        <f>HYPERLINK("https://www.list-org.com/company/14555042","https://www.list-org.com/company/14555042")</f>
        <v>https://www.list-org.com/company/14555042</v>
      </c>
      <c r="B104" s="3" t="s">
        <v>511</v>
      </c>
      <c r="C104" s="3" t="s">
        <v>512</v>
      </c>
      <c r="D104" s="3" t="s">
        <v>14</v>
      </c>
      <c r="E104" s="3" t="s">
        <v>513</v>
      </c>
      <c r="F104" s="3" t="s">
        <v>514</v>
      </c>
      <c r="G104" s="3"/>
      <c r="H104" s="3" t="s">
        <v>515</v>
      </c>
      <c r="I104" s="4"/>
      <c r="J104" s="4"/>
      <c r="K104" s="4"/>
      <c r="L104" s="4"/>
    </row>
    <row r="105" spans="1:12" x14ac:dyDescent="0.25">
      <c r="A105" s="2" t="str">
        <f>HYPERLINK("https://www.list-org.com/company/14555043","https://www.list-org.com/company/14555043")</f>
        <v>https://www.list-org.com/company/14555043</v>
      </c>
      <c r="B105" s="3" t="s">
        <v>516</v>
      </c>
      <c r="C105" s="3" t="s">
        <v>517</v>
      </c>
      <c r="D105" s="3" t="s">
        <v>14</v>
      </c>
      <c r="E105" s="3" t="s">
        <v>518</v>
      </c>
      <c r="F105" s="3" t="s">
        <v>519</v>
      </c>
      <c r="G105" s="3"/>
      <c r="H105" s="3" t="s">
        <v>520</v>
      </c>
      <c r="I105" s="4"/>
      <c r="J105" s="4"/>
      <c r="K105" s="4"/>
      <c r="L105" s="4"/>
    </row>
    <row r="106" spans="1:12" x14ac:dyDescent="0.25">
      <c r="A106" s="2" t="str">
        <f>HYPERLINK("https://www.list-org.com/company/14575131","https://www.list-org.com/company/14575131")</f>
        <v>https://www.list-org.com/company/14575131</v>
      </c>
      <c r="B106" s="3" t="s">
        <v>521</v>
      </c>
      <c r="C106" s="3" t="s">
        <v>521</v>
      </c>
      <c r="D106" s="3" t="s">
        <v>14</v>
      </c>
      <c r="E106" s="3" t="s">
        <v>522</v>
      </c>
      <c r="F106" s="3" t="s">
        <v>523</v>
      </c>
      <c r="G106" s="3"/>
      <c r="H106" s="3" t="s">
        <v>524</v>
      </c>
      <c r="I106" s="4"/>
      <c r="J106" s="4"/>
      <c r="K106" s="4"/>
      <c r="L106" s="4"/>
    </row>
    <row r="107" spans="1:12" x14ac:dyDescent="0.25">
      <c r="A107" s="2" t="str">
        <f>HYPERLINK("https://www.list-org.com/company/14575204","https://www.list-org.com/company/14575204")</f>
        <v>https://www.list-org.com/company/14575204</v>
      </c>
      <c r="B107" s="3" t="s">
        <v>525</v>
      </c>
      <c r="C107" s="3" t="s">
        <v>526</v>
      </c>
      <c r="D107" s="3" t="s">
        <v>14</v>
      </c>
      <c r="E107" s="3" t="s">
        <v>527</v>
      </c>
      <c r="F107" s="3" t="s">
        <v>528</v>
      </c>
      <c r="G107" s="3"/>
      <c r="H107" s="3" t="s">
        <v>529</v>
      </c>
      <c r="I107" s="4"/>
      <c r="J107" s="4"/>
      <c r="K107" s="4"/>
      <c r="L107" s="4"/>
    </row>
    <row r="108" spans="1:12" x14ac:dyDescent="0.25">
      <c r="A108" s="2" t="str">
        <f>HYPERLINK("https://www.list-org.com/company/14589306","https://www.list-org.com/company/14589306")</f>
        <v>https://www.list-org.com/company/14589306</v>
      </c>
      <c r="B108" s="3" t="s">
        <v>530</v>
      </c>
      <c r="C108" s="3" t="s">
        <v>531</v>
      </c>
      <c r="D108" s="3" t="s">
        <v>14</v>
      </c>
      <c r="E108" s="3" t="s">
        <v>532</v>
      </c>
      <c r="F108" s="3" t="s">
        <v>533</v>
      </c>
      <c r="G108" s="3"/>
      <c r="H108" s="3" t="s">
        <v>534</v>
      </c>
      <c r="I108" s="4"/>
      <c r="J108" s="4"/>
      <c r="K108" s="4"/>
      <c r="L108" s="4"/>
    </row>
    <row r="109" spans="1:12" x14ac:dyDescent="0.25">
      <c r="A109" s="2" t="str">
        <f>HYPERLINK("https://www.list-org.com/company/14670105","https://www.list-org.com/company/14670105")</f>
        <v>https://www.list-org.com/company/14670105</v>
      </c>
      <c r="B109" s="3" t="s">
        <v>535</v>
      </c>
      <c r="C109" s="3" t="s">
        <v>536</v>
      </c>
      <c r="D109" s="3" t="s">
        <v>14</v>
      </c>
      <c r="E109" s="3" t="s">
        <v>537</v>
      </c>
      <c r="F109" s="3" t="s">
        <v>538</v>
      </c>
      <c r="G109" s="3"/>
      <c r="H109" s="3" t="s">
        <v>539</v>
      </c>
      <c r="I109" s="4"/>
      <c r="J109" s="4"/>
      <c r="K109" s="4"/>
      <c r="L109" s="4"/>
    </row>
    <row r="110" spans="1:12" x14ac:dyDescent="0.25">
      <c r="A110" s="2" t="str">
        <f>HYPERLINK("https://www.list-org.com/company/14670161","https://www.list-org.com/company/14670161")</f>
        <v>https://www.list-org.com/company/14670161</v>
      </c>
      <c r="B110" s="3" t="s">
        <v>540</v>
      </c>
      <c r="C110" s="3" t="s">
        <v>540</v>
      </c>
      <c r="D110" s="3" t="s">
        <v>14</v>
      </c>
      <c r="E110" s="3" t="s">
        <v>541</v>
      </c>
      <c r="F110" s="3" t="s">
        <v>542</v>
      </c>
      <c r="G110" s="3"/>
      <c r="H110" s="3" t="s">
        <v>543</v>
      </c>
      <c r="I110" s="4"/>
      <c r="J110" s="4"/>
      <c r="K110" s="4"/>
      <c r="L110" s="4"/>
    </row>
    <row r="111" spans="1:12" x14ac:dyDescent="0.25">
      <c r="A111" s="2" t="str">
        <f>HYPERLINK("https://www.list-org.com/company/14685794","https://www.list-org.com/company/14685794")</f>
        <v>https://www.list-org.com/company/14685794</v>
      </c>
      <c r="B111" s="3" t="s">
        <v>544</v>
      </c>
      <c r="C111" s="3" t="s">
        <v>545</v>
      </c>
      <c r="D111" s="3" t="s">
        <v>14</v>
      </c>
      <c r="E111" s="3" t="s">
        <v>546</v>
      </c>
      <c r="F111" s="3" t="s">
        <v>547</v>
      </c>
      <c r="G111" s="3"/>
      <c r="H111" s="3" t="s">
        <v>548</v>
      </c>
      <c r="I111" s="4"/>
      <c r="J111" s="4"/>
      <c r="K111" s="4"/>
      <c r="L111" s="4"/>
    </row>
    <row r="112" spans="1:12" x14ac:dyDescent="0.25">
      <c r="A112" s="2" t="str">
        <f>HYPERLINK("https://www.list-org.com/company/14752854","https://www.list-org.com/company/14752854")</f>
        <v>https://www.list-org.com/company/14752854</v>
      </c>
      <c r="B112" s="3" t="s">
        <v>549</v>
      </c>
      <c r="C112" s="3" t="s">
        <v>550</v>
      </c>
      <c r="D112" s="3" t="s">
        <v>14</v>
      </c>
      <c r="E112" s="3" t="s">
        <v>551</v>
      </c>
      <c r="F112" s="3" t="s">
        <v>552</v>
      </c>
      <c r="G112" s="3"/>
      <c r="H112" s="3" t="s">
        <v>553</v>
      </c>
      <c r="I112" s="4"/>
      <c r="J112" s="4"/>
      <c r="K112" s="4"/>
      <c r="L112" s="4"/>
    </row>
    <row r="113" spans="1:12" x14ac:dyDescent="0.25">
      <c r="A113" s="2" t="str">
        <f>HYPERLINK("https://www.list-org.com/company/14752855","https://www.list-org.com/company/14752855")</f>
        <v>https://www.list-org.com/company/14752855</v>
      </c>
      <c r="B113" s="3" t="s">
        <v>554</v>
      </c>
      <c r="C113" s="3" t="s">
        <v>555</v>
      </c>
      <c r="D113" s="3" t="s">
        <v>14</v>
      </c>
      <c r="E113" s="3" t="s">
        <v>556</v>
      </c>
      <c r="F113" s="3" t="s">
        <v>557</v>
      </c>
      <c r="G113" s="3"/>
      <c r="H113" s="3" t="s">
        <v>558</v>
      </c>
      <c r="I113" s="4"/>
      <c r="J113" s="4"/>
      <c r="K113" s="4"/>
      <c r="L113" s="4"/>
    </row>
    <row r="114" spans="1:12" x14ac:dyDescent="0.25">
      <c r="A114" s="2" t="str">
        <f>HYPERLINK("https://www.list-org.com/company/14755257","https://www.list-org.com/company/14755257")</f>
        <v>https://www.list-org.com/company/14755257</v>
      </c>
      <c r="B114" s="3" t="s">
        <v>559</v>
      </c>
      <c r="C114" s="3" t="s">
        <v>560</v>
      </c>
      <c r="D114" s="3" t="s">
        <v>14</v>
      </c>
      <c r="E114" s="3" t="s">
        <v>561</v>
      </c>
      <c r="F114" s="3" t="s">
        <v>562</v>
      </c>
      <c r="G114" s="3"/>
      <c r="H114" s="3" t="s">
        <v>563</v>
      </c>
      <c r="I114" s="4"/>
      <c r="J114" s="4"/>
      <c r="K114" s="4"/>
      <c r="L114" s="4"/>
    </row>
    <row r="115" spans="1:12" x14ac:dyDescent="0.25">
      <c r="A115" s="2" t="str">
        <f>HYPERLINK("https://www.list-org.com/company/14782477","https://www.list-org.com/company/14782477")</f>
        <v>https://www.list-org.com/company/14782477</v>
      </c>
      <c r="B115" s="3" t="s">
        <v>564</v>
      </c>
      <c r="C115" s="3" t="s">
        <v>565</v>
      </c>
      <c r="D115" s="3" t="s">
        <v>14</v>
      </c>
      <c r="E115" s="3" t="s">
        <v>566</v>
      </c>
      <c r="F115" s="3" t="s">
        <v>567</v>
      </c>
      <c r="G115" s="3"/>
      <c r="H115" s="3" t="s">
        <v>568</v>
      </c>
      <c r="I115" s="4"/>
      <c r="J115" s="4"/>
      <c r="K115" s="4"/>
      <c r="L115" s="4"/>
    </row>
    <row r="116" spans="1:12" x14ac:dyDescent="0.25">
      <c r="A116" s="2" t="str">
        <f>HYPERLINK("https://www.list-org.com/company/14802390","https://www.list-org.com/company/14802390")</f>
        <v>https://www.list-org.com/company/14802390</v>
      </c>
      <c r="B116" s="3" t="s">
        <v>569</v>
      </c>
      <c r="C116" s="3" t="s">
        <v>570</v>
      </c>
      <c r="D116" s="3" t="s">
        <v>14</v>
      </c>
      <c r="E116" s="3" t="s">
        <v>571</v>
      </c>
      <c r="F116" s="3" t="s">
        <v>572</v>
      </c>
      <c r="G116" s="3"/>
      <c r="H116" s="3" t="s">
        <v>573</v>
      </c>
      <c r="I116" s="4"/>
      <c r="J116" s="4"/>
      <c r="K116" s="4"/>
      <c r="L116" s="4"/>
    </row>
    <row r="117" spans="1:12" x14ac:dyDescent="0.25">
      <c r="A117" s="2" t="str">
        <f>HYPERLINK("https://www.list-org.com/company/14602234","https://www.list-org.com/company/14602234")</f>
        <v>https://www.list-org.com/company/14602234</v>
      </c>
      <c r="B117" s="3" t="s">
        <v>574</v>
      </c>
      <c r="C117" s="3" t="s">
        <v>575</v>
      </c>
      <c r="D117" s="3" t="s">
        <v>14</v>
      </c>
      <c r="E117" s="3" t="s">
        <v>576</v>
      </c>
      <c r="F117" s="3" t="s">
        <v>577</v>
      </c>
      <c r="G117" s="3"/>
      <c r="H117" s="3" t="s">
        <v>578</v>
      </c>
      <c r="I117" s="4"/>
      <c r="J117" s="4"/>
      <c r="K117" s="4"/>
      <c r="L117" s="4"/>
    </row>
    <row r="118" spans="1:12" x14ac:dyDescent="0.25">
      <c r="A118" s="2" t="str">
        <f>HYPERLINK("https://www.list-org.com/company/13735226","https://www.list-org.com/company/13735226")</f>
        <v>https://www.list-org.com/company/13735226</v>
      </c>
      <c r="B118" s="3" t="s">
        <v>579</v>
      </c>
      <c r="C118" s="3" t="s">
        <v>580</v>
      </c>
      <c r="D118" s="3" t="s">
        <v>14</v>
      </c>
      <c r="E118" s="3" t="s">
        <v>581</v>
      </c>
      <c r="F118" s="3" t="s">
        <v>582</v>
      </c>
      <c r="G118" s="3"/>
      <c r="H118" s="3" t="s">
        <v>469</v>
      </c>
      <c r="I118" s="4"/>
      <c r="J118" s="4"/>
      <c r="K118" s="4"/>
      <c r="L118" s="4"/>
    </row>
    <row r="119" spans="1:12" x14ac:dyDescent="0.25">
      <c r="A119" s="2" t="str">
        <f>HYPERLINK("https://www.list-org.com/company/13735516","https://www.list-org.com/company/13735516")</f>
        <v>https://www.list-org.com/company/13735516</v>
      </c>
      <c r="B119" s="3" t="s">
        <v>583</v>
      </c>
      <c r="C119" s="3" t="s">
        <v>584</v>
      </c>
      <c r="D119" s="3" t="s">
        <v>14</v>
      </c>
      <c r="E119" s="3" t="s">
        <v>585</v>
      </c>
      <c r="F119" s="3" t="s">
        <v>586</v>
      </c>
      <c r="G119" s="3"/>
      <c r="H119" s="3" t="s">
        <v>587</v>
      </c>
      <c r="I119" s="4"/>
      <c r="J119" s="4">
        <v>2155</v>
      </c>
      <c r="K119" s="4">
        <v>15</v>
      </c>
      <c r="L119" s="4"/>
    </row>
    <row r="120" spans="1:12" x14ac:dyDescent="0.25">
      <c r="A120" s="2" t="str">
        <f>HYPERLINK("https://www.list-org.com/company/13735749","https://www.list-org.com/company/13735749")</f>
        <v>https://www.list-org.com/company/13735749</v>
      </c>
      <c r="B120" s="3" t="s">
        <v>588</v>
      </c>
      <c r="C120" s="3" t="s">
        <v>589</v>
      </c>
      <c r="D120" s="3" t="s">
        <v>14</v>
      </c>
      <c r="E120" s="3" t="s">
        <v>590</v>
      </c>
      <c r="F120" s="3" t="s">
        <v>591</v>
      </c>
      <c r="G120" s="3"/>
      <c r="H120" s="3" t="s">
        <v>592</v>
      </c>
      <c r="I120" s="4"/>
      <c r="J120" s="4"/>
      <c r="K120" s="4"/>
      <c r="L120" s="4"/>
    </row>
    <row r="121" spans="1:12" x14ac:dyDescent="0.25">
      <c r="A121" s="2" t="str">
        <f>HYPERLINK("https://www.list-org.com/company/13744241","https://www.list-org.com/company/13744241")</f>
        <v>https://www.list-org.com/company/13744241</v>
      </c>
      <c r="B121" s="3" t="s">
        <v>593</v>
      </c>
      <c r="C121" s="3" t="s">
        <v>594</v>
      </c>
      <c r="D121" s="3" t="s">
        <v>14</v>
      </c>
      <c r="E121" s="3" t="s">
        <v>595</v>
      </c>
      <c r="F121" s="3" t="s">
        <v>596</v>
      </c>
      <c r="G121" s="3"/>
      <c r="H121" s="3" t="s">
        <v>597</v>
      </c>
      <c r="I121" s="4"/>
      <c r="J121" s="4"/>
      <c r="K121" s="4"/>
      <c r="L121" s="4"/>
    </row>
    <row r="122" spans="1:12" x14ac:dyDescent="0.25">
      <c r="A122" s="2" t="str">
        <f>HYPERLINK("https://www.list-org.com/company/13744259","https://www.list-org.com/company/13744259")</f>
        <v>https://www.list-org.com/company/13744259</v>
      </c>
      <c r="B122" s="3" t="s">
        <v>598</v>
      </c>
      <c r="C122" s="3" t="s">
        <v>599</v>
      </c>
      <c r="D122" s="3" t="s">
        <v>14</v>
      </c>
      <c r="E122" s="3" t="s">
        <v>600</v>
      </c>
      <c r="F122" s="3" t="s">
        <v>601</v>
      </c>
      <c r="G122" s="3"/>
      <c r="H122" s="3" t="s">
        <v>602</v>
      </c>
      <c r="I122" s="4"/>
      <c r="J122" s="4"/>
      <c r="K122" s="4"/>
      <c r="L122" s="4"/>
    </row>
    <row r="123" spans="1:12" x14ac:dyDescent="0.25">
      <c r="A123" s="2" t="str">
        <f>HYPERLINK("https://www.list-org.com/company/13752291","https://www.list-org.com/company/13752291")</f>
        <v>https://www.list-org.com/company/13752291</v>
      </c>
      <c r="B123" s="3" t="s">
        <v>603</v>
      </c>
      <c r="C123" s="3" t="s">
        <v>604</v>
      </c>
      <c r="D123" s="3" t="s">
        <v>14</v>
      </c>
      <c r="E123" s="3" t="s">
        <v>605</v>
      </c>
      <c r="F123" s="3" t="s">
        <v>606</v>
      </c>
      <c r="G123" s="3"/>
      <c r="H123" s="3" t="s">
        <v>607</v>
      </c>
      <c r="I123" s="4"/>
      <c r="J123" s="4"/>
      <c r="K123" s="4"/>
      <c r="L123" s="4"/>
    </row>
    <row r="124" spans="1:12" x14ac:dyDescent="0.25">
      <c r="A124" s="2" t="str">
        <f>HYPERLINK("https://www.list-org.com/company/13755044","https://www.list-org.com/company/13755044")</f>
        <v>https://www.list-org.com/company/13755044</v>
      </c>
      <c r="B124" s="3" t="s">
        <v>608</v>
      </c>
      <c r="C124" s="3" t="s">
        <v>609</v>
      </c>
      <c r="D124" s="3" t="s">
        <v>14</v>
      </c>
      <c r="E124" s="3" t="s">
        <v>610</v>
      </c>
      <c r="F124" s="3" t="s">
        <v>611</v>
      </c>
      <c r="G124" s="3"/>
      <c r="H124" s="3" t="s">
        <v>612</v>
      </c>
      <c r="I124" s="4"/>
      <c r="J124" s="4"/>
      <c r="K124" s="4"/>
      <c r="L124" s="4"/>
    </row>
    <row r="125" spans="1:12" x14ac:dyDescent="0.25">
      <c r="A125" s="2" t="str">
        <f>HYPERLINK("https://www.list-org.com/company/13755689","https://www.list-org.com/company/13755689")</f>
        <v>https://www.list-org.com/company/13755689</v>
      </c>
      <c r="B125" s="3" t="s">
        <v>613</v>
      </c>
      <c r="C125" s="3" t="s">
        <v>614</v>
      </c>
      <c r="D125" s="3" t="s">
        <v>14</v>
      </c>
      <c r="E125" s="3" t="s">
        <v>615</v>
      </c>
      <c r="F125" s="3" t="s">
        <v>616</v>
      </c>
      <c r="G125" s="3"/>
      <c r="H125" s="3" t="s">
        <v>617</v>
      </c>
      <c r="I125" s="4"/>
      <c r="J125" s="4"/>
      <c r="K125" s="4"/>
      <c r="L125" s="4"/>
    </row>
    <row r="126" spans="1:12" x14ac:dyDescent="0.25">
      <c r="A126" s="2" t="str">
        <f>HYPERLINK("https://www.list-org.com/company/13756079","https://www.list-org.com/company/13756079")</f>
        <v>https://www.list-org.com/company/13756079</v>
      </c>
      <c r="B126" s="3" t="s">
        <v>618</v>
      </c>
      <c r="C126" s="3" t="s">
        <v>619</v>
      </c>
      <c r="D126" s="3" t="s">
        <v>14</v>
      </c>
      <c r="E126" s="3" t="s">
        <v>620</v>
      </c>
      <c r="F126" s="3" t="s">
        <v>621</v>
      </c>
      <c r="G126" s="3"/>
      <c r="H126" s="3" t="s">
        <v>622</v>
      </c>
      <c r="I126" s="4"/>
      <c r="J126" s="4"/>
      <c r="K126" s="4"/>
      <c r="L126" s="4"/>
    </row>
    <row r="127" spans="1:12" x14ac:dyDescent="0.25">
      <c r="A127" s="2" t="str">
        <f>HYPERLINK("https://www.list-org.com/company/13764509","https://www.list-org.com/company/13764509")</f>
        <v>https://www.list-org.com/company/13764509</v>
      </c>
      <c r="B127" s="3" t="s">
        <v>623</v>
      </c>
      <c r="C127" s="3" t="s">
        <v>624</v>
      </c>
      <c r="D127" s="3" t="s">
        <v>14</v>
      </c>
      <c r="E127" s="3" t="s">
        <v>625</v>
      </c>
      <c r="F127" s="3" t="s">
        <v>626</v>
      </c>
      <c r="G127" s="3"/>
      <c r="H127" s="3" t="s">
        <v>627</v>
      </c>
      <c r="I127" s="4"/>
      <c r="J127" s="4"/>
      <c r="K127" s="4"/>
      <c r="L127" s="4"/>
    </row>
    <row r="128" spans="1:12" x14ac:dyDescent="0.25">
      <c r="A128" s="2" t="str">
        <f>HYPERLINK("https://www.list-org.com/company/13768490","https://www.list-org.com/company/13768490")</f>
        <v>https://www.list-org.com/company/13768490</v>
      </c>
      <c r="B128" s="3" t="s">
        <v>628</v>
      </c>
      <c r="C128" s="3" t="s">
        <v>629</v>
      </c>
      <c r="D128" s="3" t="s">
        <v>14</v>
      </c>
      <c r="E128" s="3" t="s">
        <v>630</v>
      </c>
      <c r="F128" s="3" t="s">
        <v>631</v>
      </c>
      <c r="G128" s="3"/>
      <c r="H128" s="3" t="s">
        <v>632</v>
      </c>
      <c r="I128" s="4">
        <v>1</v>
      </c>
      <c r="J128" s="4">
        <v>599</v>
      </c>
      <c r="K128" s="4">
        <v>-1702</v>
      </c>
      <c r="L128" s="4">
        <v>5106</v>
      </c>
    </row>
    <row r="129" spans="1:12" x14ac:dyDescent="0.25">
      <c r="A129" s="2" t="str">
        <f>HYPERLINK("https://www.list-org.com/company/13775514","https://www.list-org.com/company/13775514")</f>
        <v>https://www.list-org.com/company/13775514</v>
      </c>
      <c r="B129" s="3" t="s">
        <v>633</v>
      </c>
      <c r="C129" s="3" t="s">
        <v>634</v>
      </c>
      <c r="D129" s="3" t="s">
        <v>14</v>
      </c>
      <c r="E129" s="3" t="s">
        <v>635</v>
      </c>
      <c r="F129" s="3" t="s">
        <v>636</v>
      </c>
      <c r="G129" s="3"/>
      <c r="H129" s="3" t="s">
        <v>637</v>
      </c>
      <c r="I129" s="4"/>
      <c r="J129" s="4"/>
      <c r="K129" s="4"/>
      <c r="L129" s="4"/>
    </row>
    <row r="130" spans="1:12" x14ac:dyDescent="0.25">
      <c r="A130" s="2" t="str">
        <f>HYPERLINK("https://www.list-org.com/company/13776893","https://www.list-org.com/company/13776893")</f>
        <v>https://www.list-org.com/company/13776893</v>
      </c>
      <c r="B130" s="3" t="s">
        <v>638</v>
      </c>
      <c r="C130" s="3" t="s">
        <v>639</v>
      </c>
      <c r="D130" s="3" t="s">
        <v>14</v>
      </c>
      <c r="E130" s="3" t="s">
        <v>640</v>
      </c>
      <c r="F130" s="3" t="s">
        <v>641</v>
      </c>
      <c r="G130" s="3"/>
      <c r="H130" s="3" t="s">
        <v>642</v>
      </c>
      <c r="I130" s="4"/>
      <c r="J130" s="4"/>
      <c r="K130" s="4"/>
      <c r="L130" s="4"/>
    </row>
    <row r="131" spans="1:12" x14ac:dyDescent="0.25">
      <c r="A131" s="2" t="str">
        <f>HYPERLINK("https://www.list-org.com/company/13842523","https://www.list-org.com/company/13842523")</f>
        <v>https://www.list-org.com/company/13842523</v>
      </c>
      <c r="B131" s="3" t="s">
        <v>643</v>
      </c>
      <c r="C131" s="3" t="s">
        <v>644</v>
      </c>
      <c r="D131" s="3" t="s">
        <v>14</v>
      </c>
      <c r="E131" s="3" t="s">
        <v>645</v>
      </c>
      <c r="F131" s="3" t="s">
        <v>646</v>
      </c>
      <c r="G131" s="3"/>
      <c r="H131" s="3" t="s">
        <v>647</v>
      </c>
      <c r="I131" s="4"/>
      <c r="J131" s="4"/>
      <c r="K131" s="4"/>
      <c r="L131" s="4"/>
    </row>
    <row r="132" spans="1:12" x14ac:dyDescent="0.25">
      <c r="A132" s="2" t="str">
        <f>HYPERLINK("https://www.list-org.com/company/13844788","https://www.list-org.com/company/13844788")</f>
        <v>https://www.list-org.com/company/13844788</v>
      </c>
      <c r="B132" s="3" t="s">
        <v>648</v>
      </c>
      <c r="C132" s="3" t="s">
        <v>649</v>
      </c>
      <c r="D132" s="3" t="s">
        <v>14</v>
      </c>
      <c r="E132" s="3" t="s">
        <v>650</v>
      </c>
      <c r="F132" s="3" t="s">
        <v>651</v>
      </c>
      <c r="G132" s="3"/>
      <c r="H132" s="3" t="s">
        <v>652</v>
      </c>
      <c r="I132" s="4"/>
      <c r="J132" s="4"/>
      <c r="K132" s="4"/>
      <c r="L132" s="4"/>
    </row>
    <row r="133" spans="1:12" x14ac:dyDescent="0.25">
      <c r="A133" s="2" t="str">
        <f>HYPERLINK("https://www.list-org.com/company/14052763","https://www.list-org.com/company/14052763")</f>
        <v>https://www.list-org.com/company/14052763</v>
      </c>
      <c r="B133" s="3" t="s">
        <v>653</v>
      </c>
      <c r="C133" s="3" t="s">
        <v>654</v>
      </c>
      <c r="D133" s="3" t="s">
        <v>14</v>
      </c>
      <c r="E133" s="3" t="s">
        <v>655</v>
      </c>
      <c r="F133" s="3" t="s">
        <v>656</v>
      </c>
      <c r="G133" s="3"/>
      <c r="H133" s="3" t="s">
        <v>657</v>
      </c>
      <c r="I133" s="4"/>
      <c r="J133" s="4"/>
      <c r="K133" s="4"/>
      <c r="L133" s="4"/>
    </row>
    <row r="134" spans="1:12" x14ac:dyDescent="0.25">
      <c r="A134" s="2" t="str">
        <f>HYPERLINK("https://www.list-org.com/company/14124413","https://www.list-org.com/company/14124413")</f>
        <v>https://www.list-org.com/company/14124413</v>
      </c>
      <c r="B134" s="3" t="s">
        <v>658</v>
      </c>
      <c r="C134" s="3" t="s">
        <v>659</v>
      </c>
      <c r="D134" s="3" t="s">
        <v>14</v>
      </c>
      <c r="E134" s="3" t="s">
        <v>660</v>
      </c>
      <c r="F134" s="3" t="s">
        <v>661</v>
      </c>
      <c r="G134" s="3"/>
      <c r="H134" s="3" t="s">
        <v>662</v>
      </c>
      <c r="I134" s="4"/>
      <c r="J134" s="4"/>
      <c r="K134" s="4"/>
      <c r="L134" s="4"/>
    </row>
    <row r="135" spans="1:12" x14ac:dyDescent="0.25">
      <c r="A135" s="2" t="str">
        <f>HYPERLINK("https://www.list-org.com/company/14153429","https://www.list-org.com/company/14153429")</f>
        <v>https://www.list-org.com/company/14153429</v>
      </c>
      <c r="B135" s="3" t="s">
        <v>663</v>
      </c>
      <c r="C135" s="3" t="s">
        <v>664</v>
      </c>
      <c r="D135" s="3" t="s">
        <v>14</v>
      </c>
      <c r="E135" s="3" t="s">
        <v>665</v>
      </c>
      <c r="F135" s="3" t="s">
        <v>666</v>
      </c>
      <c r="G135" s="3"/>
      <c r="H135" s="3" t="s">
        <v>667</v>
      </c>
      <c r="I135" s="4"/>
      <c r="J135" s="4"/>
      <c r="K135" s="4"/>
      <c r="L135" s="4"/>
    </row>
    <row r="136" spans="1:12" x14ac:dyDescent="0.25">
      <c r="A136" s="2" t="str">
        <f>HYPERLINK("https://www.list-org.com/company/14222121","https://www.list-org.com/company/14222121")</f>
        <v>https://www.list-org.com/company/14222121</v>
      </c>
      <c r="B136" s="3" t="s">
        <v>668</v>
      </c>
      <c r="C136" s="3" t="s">
        <v>669</v>
      </c>
      <c r="D136" s="3" t="s">
        <v>14</v>
      </c>
      <c r="E136" s="3" t="s">
        <v>670</v>
      </c>
      <c r="F136" s="3" t="s">
        <v>671</v>
      </c>
      <c r="G136" s="3"/>
      <c r="H136" s="3" t="s">
        <v>672</v>
      </c>
      <c r="I136" s="4"/>
      <c r="J136" s="4"/>
      <c r="K136" s="4"/>
      <c r="L136" s="4"/>
    </row>
    <row r="137" spans="1:12" x14ac:dyDescent="0.25">
      <c r="A137" s="2" t="str">
        <f>HYPERLINK("https://www.list-org.com/company/14244803","https://www.list-org.com/company/14244803")</f>
        <v>https://www.list-org.com/company/14244803</v>
      </c>
      <c r="B137" s="3" t="s">
        <v>673</v>
      </c>
      <c r="C137" s="3" t="s">
        <v>674</v>
      </c>
      <c r="D137" s="3" t="s">
        <v>14</v>
      </c>
      <c r="E137" s="3" t="s">
        <v>675</v>
      </c>
      <c r="F137" s="3" t="s">
        <v>676</v>
      </c>
      <c r="G137" s="3"/>
      <c r="H137" s="3" t="s">
        <v>677</v>
      </c>
      <c r="I137" s="4">
        <v>1</v>
      </c>
      <c r="J137" s="4"/>
      <c r="K137" s="4">
        <v>-7807</v>
      </c>
      <c r="L137" s="4">
        <v>2194</v>
      </c>
    </row>
    <row r="138" spans="1:12" x14ac:dyDescent="0.25">
      <c r="A138" s="2" t="str">
        <f>HYPERLINK("https://www.list-org.com/company/14244804","https://www.list-org.com/company/14244804")</f>
        <v>https://www.list-org.com/company/14244804</v>
      </c>
      <c r="B138" s="3" t="s">
        <v>678</v>
      </c>
      <c r="C138" s="3" t="s">
        <v>679</v>
      </c>
      <c r="D138" s="3" t="s">
        <v>14</v>
      </c>
      <c r="E138" s="3" t="s">
        <v>680</v>
      </c>
      <c r="F138" s="3" t="s">
        <v>681</v>
      </c>
      <c r="G138" s="3"/>
      <c r="H138" s="3" t="s">
        <v>682</v>
      </c>
      <c r="I138" s="4"/>
      <c r="J138" s="4"/>
      <c r="K138" s="4"/>
      <c r="L138" s="4"/>
    </row>
    <row r="139" spans="1:12" x14ac:dyDescent="0.25">
      <c r="A139" s="2" t="str">
        <f>HYPERLINK("https://www.list-org.com/company/14384491","https://www.list-org.com/company/14384491")</f>
        <v>https://www.list-org.com/company/14384491</v>
      </c>
      <c r="B139" s="3" t="s">
        <v>683</v>
      </c>
      <c r="C139" s="3" t="s">
        <v>684</v>
      </c>
      <c r="D139" s="3" t="s">
        <v>14</v>
      </c>
      <c r="E139" s="3" t="s">
        <v>685</v>
      </c>
      <c r="F139" s="3" t="s">
        <v>686</v>
      </c>
      <c r="G139" s="3"/>
      <c r="H139" s="3" t="s">
        <v>687</v>
      </c>
      <c r="I139" s="4"/>
      <c r="J139" s="4"/>
      <c r="K139" s="4"/>
      <c r="L139" s="4"/>
    </row>
    <row r="140" spans="1:12" x14ac:dyDescent="0.25">
      <c r="A140" s="2" t="str">
        <f>HYPERLINK("https://www.list-org.com/company/14483543","https://www.list-org.com/company/14483543")</f>
        <v>https://www.list-org.com/company/14483543</v>
      </c>
      <c r="B140" s="3" t="s">
        <v>688</v>
      </c>
      <c r="C140" s="3" t="s">
        <v>689</v>
      </c>
      <c r="D140" s="3" t="s">
        <v>14</v>
      </c>
      <c r="E140" s="3" t="s">
        <v>690</v>
      </c>
      <c r="F140" s="3" t="s">
        <v>691</v>
      </c>
      <c r="G140" s="3"/>
      <c r="H140" s="3" t="s">
        <v>497</v>
      </c>
      <c r="I140" s="4"/>
      <c r="J140" s="4"/>
      <c r="K140" s="4"/>
      <c r="L140" s="4"/>
    </row>
    <row r="141" spans="1:12" x14ac:dyDescent="0.25">
      <c r="A141" s="2" t="str">
        <f>HYPERLINK("https://www.list-org.com/company/14507961","https://www.list-org.com/company/14507961")</f>
        <v>https://www.list-org.com/company/14507961</v>
      </c>
      <c r="B141" s="3" t="s">
        <v>692</v>
      </c>
      <c r="C141" s="3" t="s">
        <v>693</v>
      </c>
      <c r="D141" s="3" t="s">
        <v>14</v>
      </c>
      <c r="E141" s="3" t="s">
        <v>694</v>
      </c>
      <c r="F141" s="3" t="s">
        <v>695</v>
      </c>
      <c r="G141" s="3"/>
      <c r="H141" s="3" t="s">
        <v>696</v>
      </c>
      <c r="I141" s="4"/>
      <c r="J141" s="4"/>
      <c r="K141" s="4"/>
      <c r="L141" s="4"/>
    </row>
    <row r="142" spans="1:12" x14ac:dyDescent="0.25">
      <c r="A142" s="2" t="str">
        <f>HYPERLINK("https://www.list-org.com/company/14554896","https://www.list-org.com/company/14554896")</f>
        <v>https://www.list-org.com/company/14554896</v>
      </c>
      <c r="B142" s="3" t="s">
        <v>697</v>
      </c>
      <c r="C142" s="3" t="s">
        <v>698</v>
      </c>
      <c r="D142" s="3" t="s">
        <v>14</v>
      </c>
      <c r="E142" s="3" t="s">
        <v>699</v>
      </c>
      <c r="F142" s="3" t="s">
        <v>700</v>
      </c>
      <c r="G142" s="3"/>
      <c r="H142" s="3" t="s">
        <v>701</v>
      </c>
      <c r="I142" s="4"/>
      <c r="J142" s="4"/>
      <c r="K142" s="4"/>
      <c r="L142" s="4"/>
    </row>
    <row r="143" spans="1:12" x14ac:dyDescent="0.25">
      <c r="A143" s="2" t="str">
        <f>HYPERLINK("https://www.list-org.com/company/14554897","https://www.list-org.com/company/14554897")</f>
        <v>https://www.list-org.com/company/14554897</v>
      </c>
      <c r="B143" s="3" t="s">
        <v>702</v>
      </c>
      <c r="C143" s="3" t="s">
        <v>703</v>
      </c>
      <c r="D143" s="3" t="s">
        <v>14</v>
      </c>
      <c r="E143" s="3" t="s">
        <v>704</v>
      </c>
      <c r="F143" s="3" t="s">
        <v>705</v>
      </c>
      <c r="G143" s="3"/>
      <c r="H143" s="3" t="s">
        <v>706</v>
      </c>
      <c r="I143" s="4"/>
      <c r="J143" s="4"/>
      <c r="K143" s="4"/>
      <c r="L143" s="4"/>
    </row>
    <row r="144" spans="1:12" x14ac:dyDescent="0.25">
      <c r="A144" s="2" t="str">
        <f>HYPERLINK("https://www.list-org.com/company/14562900","https://www.list-org.com/company/14562900")</f>
        <v>https://www.list-org.com/company/14562900</v>
      </c>
      <c r="B144" s="3" t="s">
        <v>707</v>
      </c>
      <c r="C144" s="3" t="s">
        <v>708</v>
      </c>
      <c r="D144" s="3" t="s">
        <v>14</v>
      </c>
      <c r="E144" s="3" t="s">
        <v>709</v>
      </c>
      <c r="F144" s="3" t="s">
        <v>710</v>
      </c>
      <c r="G144" s="3"/>
      <c r="H144" s="3" t="s">
        <v>711</v>
      </c>
      <c r="I144" s="4"/>
      <c r="J144" s="4"/>
      <c r="K144" s="4"/>
      <c r="L144" s="4"/>
    </row>
    <row r="145" spans="1:12" x14ac:dyDescent="0.25">
      <c r="A145" s="2" t="str">
        <f>HYPERLINK("https://www.list-org.com/company/14773271","https://www.list-org.com/company/14773271")</f>
        <v>https://www.list-org.com/company/14773271</v>
      </c>
      <c r="B145" s="3" t="s">
        <v>712</v>
      </c>
      <c r="C145" s="3" t="s">
        <v>713</v>
      </c>
      <c r="D145" s="3" t="s">
        <v>14</v>
      </c>
      <c r="E145" s="3" t="s">
        <v>714</v>
      </c>
      <c r="F145" s="3" t="s">
        <v>715</v>
      </c>
      <c r="G145" s="3"/>
      <c r="H145" s="3" t="s">
        <v>716</v>
      </c>
      <c r="I145" s="4"/>
      <c r="J145" s="4"/>
      <c r="K145" s="4"/>
      <c r="L145" s="4"/>
    </row>
    <row r="146" spans="1:12" x14ac:dyDescent="0.25">
      <c r="A146" s="2" t="str">
        <f>HYPERLINK("https://www.list-org.com/company/14803757","https://www.list-org.com/company/14803757")</f>
        <v>https://www.list-org.com/company/14803757</v>
      </c>
      <c r="B146" s="3" t="s">
        <v>717</v>
      </c>
      <c r="C146" s="3" t="s">
        <v>718</v>
      </c>
      <c r="D146" s="3" t="s">
        <v>14</v>
      </c>
      <c r="E146" s="3" t="s">
        <v>719</v>
      </c>
      <c r="F146" s="3" t="s">
        <v>720</v>
      </c>
      <c r="G146" s="3"/>
      <c r="H146" s="3" t="s">
        <v>390</v>
      </c>
      <c r="I146" s="4"/>
      <c r="J146" s="4"/>
      <c r="K146" s="4"/>
      <c r="L146" s="4"/>
    </row>
    <row r="147" spans="1:12" x14ac:dyDescent="0.25">
      <c r="A147" s="2" t="str">
        <f>HYPERLINK("https://www.list-org.com/company/13735646","https://www.list-org.com/company/13735646")</f>
        <v>https://www.list-org.com/company/13735646</v>
      </c>
      <c r="B147" s="3" t="s">
        <v>721</v>
      </c>
      <c r="C147" s="3" t="s">
        <v>722</v>
      </c>
      <c r="D147" s="3" t="s">
        <v>14</v>
      </c>
      <c r="E147" s="3" t="s">
        <v>723</v>
      </c>
      <c r="F147" s="3" t="s">
        <v>724</v>
      </c>
      <c r="G147" s="3"/>
      <c r="H147" s="3" t="s">
        <v>725</v>
      </c>
      <c r="I147" s="4"/>
      <c r="J147" s="4"/>
      <c r="K147" s="4"/>
      <c r="L147" s="4"/>
    </row>
    <row r="148" spans="1:12" x14ac:dyDescent="0.25">
      <c r="A148" s="2" t="str">
        <f>HYPERLINK("https://www.list-org.com/company/13735649","https://www.list-org.com/company/13735649")</f>
        <v>https://www.list-org.com/company/13735649</v>
      </c>
      <c r="B148" s="3" t="s">
        <v>726</v>
      </c>
      <c r="C148" s="3" t="s">
        <v>727</v>
      </c>
      <c r="D148" s="3" t="s">
        <v>14</v>
      </c>
      <c r="E148" s="3" t="s">
        <v>728</v>
      </c>
      <c r="F148" s="3" t="s">
        <v>729</v>
      </c>
      <c r="G148" s="3"/>
      <c r="H148" s="3" t="s">
        <v>725</v>
      </c>
      <c r="I148" s="4"/>
      <c r="J148" s="4"/>
      <c r="K148" s="4"/>
      <c r="L148" s="4"/>
    </row>
    <row r="149" spans="1:12" x14ac:dyDescent="0.25">
      <c r="A149" s="2" t="str">
        <f>HYPERLINK("https://www.list-org.com/company/14029202","https://www.list-org.com/company/14029202")</f>
        <v>https://www.list-org.com/company/14029202</v>
      </c>
      <c r="B149" s="3" t="s">
        <v>730</v>
      </c>
      <c r="C149" s="3" t="s">
        <v>731</v>
      </c>
      <c r="D149" s="3" t="s">
        <v>14</v>
      </c>
      <c r="E149" s="3" t="s">
        <v>732</v>
      </c>
      <c r="F149" s="3" t="s">
        <v>733</v>
      </c>
      <c r="G149" s="3"/>
      <c r="H149" s="3" t="s">
        <v>734</v>
      </c>
      <c r="I149" s="4"/>
      <c r="J149" s="4"/>
      <c r="K149" s="4"/>
      <c r="L149" s="4"/>
    </row>
    <row r="150" spans="1:12" x14ac:dyDescent="0.25">
      <c r="A150" s="2" t="str">
        <f>HYPERLINK("https://www.list-org.com/company/14137484","https://www.list-org.com/company/14137484")</f>
        <v>https://www.list-org.com/company/14137484</v>
      </c>
      <c r="B150" s="3" t="s">
        <v>735</v>
      </c>
      <c r="C150" s="3" t="s">
        <v>736</v>
      </c>
      <c r="D150" s="3" t="s">
        <v>14</v>
      </c>
      <c r="E150" s="3" t="s">
        <v>737</v>
      </c>
      <c r="F150" s="3" t="s">
        <v>738</v>
      </c>
      <c r="G150" s="3"/>
      <c r="H150" s="3" t="s">
        <v>739</v>
      </c>
      <c r="I150" s="4"/>
      <c r="J150" s="4"/>
      <c r="K150" s="4"/>
      <c r="L150" s="4"/>
    </row>
    <row r="151" spans="1:12" x14ac:dyDescent="0.25">
      <c r="A151" s="2" t="str">
        <f>HYPERLINK("https://www.list-org.com/company/14384490","https://www.list-org.com/company/14384490")</f>
        <v>https://www.list-org.com/company/14384490</v>
      </c>
      <c r="B151" s="3" t="s">
        <v>740</v>
      </c>
      <c r="C151" s="3" t="s">
        <v>741</v>
      </c>
      <c r="D151" s="3" t="s">
        <v>14</v>
      </c>
      <c r="E151" s="3" t="s">
        <v>742</v>
      </c>
      <c r="F151" s="3" t="s">
        <v>743</v>
      </c>
      <c r="G151" s="3"/>
      <c r="H151" s="3" t="s">
        <v>744</v>
      </c>
      <c r="I151" s="4"/>
      <c r="J151" s="4"/>
      <c r="K151" s="4"/>
      <c r="L151" s="4"/>
    </row>
    <row r="152" spans="1:12" x14ac:dyDescent="0.25">
      <c r="A152" s="2" t="str">
        <f>HYPERLINK("https://www.list-org.com/company/14804471","https://www.list-org.com/company/14804471")</f>
        <v>https://www.list-org.com/company/14804471</v>
      </c>
      <c r="B152" s="3" t="s">
        <v>745</v>
      </c>
      <c r="C152" s="3" t="s">
        <v>746</v>
      </c>
      <c r="D152" s="3" t="s">
        <v>14</v>
      </c>
      <c r="E152" s="3" t="s">
        <v>747</v>
      </c>
      <c r="F152" s="3" t="s">
        <v>748</v>
      </c>
      <c r="G152" s="3"/>
      <c r="H152" s="3" t="s">
        <v>749</v>
      </c>
      <c r="I152" s="4"/>
      <c r="J152" s="4"/>
      <c r="K152" s="4"/>
      <c r="L152" s="4"/>
    </row>
    <row r="153" spans="1:12" x14ac:dyDescent="0.25">
      <c r="A153" s="2" t="str">
        <f>HYPERLINK("https://www.list-org.com/company/14817962","https://www.list-org.com/company/14817962")</f>
        <v>https://www.list-org.com/company/14817962</v>
      </c>
      <c r="B153" s="3" t="s">
        <v>750</v>
      </c>
      <c r="C153" s="3" t="s">
        <v>751</v>
      </c>
      <c r="D153" s="3" t="s">
        <v>14</v>
      </c>
      <c r="E153" s="3" t="s">
        <v>752</v>
      </c>
      <c r="F153" s="3" t="s">
        <v>753</v>
      </c>
      <c r="G153" s="3"/>
      <c r="H153" s="3" t="s">
        <v>568</v>
      </c>
      <c r="I153" s="4"/>
      <c r="J153" s="4"/>
      <c r="K153" s="4"/>
      <c r="L153" s="4"/>
    </row>
    <row r="154" spans="1:12" x14ac:dyDescent="0.25">
      <c r="A154" s="2" t="str">
        <f>HYPERLINK("https://www.list-org.com/company/7923581","https://www.list-org.com/company/7923581")</f>
        <v>https://www.list-org.com/company/7923581</v>
      </c>
      <c r="B154" s="3" t="s">
        <v>754</v>
      </c>
      <c r="C154" s="3" t="s">
        <v>755</v>
      </c>
      <c r="D154" s="3" t="s">
        <v>14</v>
      </c>
      <c r="E154" s="3" t="s">
        <v>756</v>
      </c>
      <c r="F154" s="3" t="s">
        <v>757</v>
      </c>
      <c r="G154" s="3"/>
      <c r="H154" s="3" t="s">
        <v>758</v>
      </c>
      <c r="I154" s="4"/>
      <c r="J154" s="4"/>
      <c r="K154" s="4"/>
      <c r="L154" s="4"/>
    </row>
    <row r="155" spans="1:12" x14ac:dyDescent="0.25">
      <c r="A155" s="2" t="str">
        <f>HYPERLINK("https://www.list-org.com/company/14606056","https://www.list-org.com/company/14606056")</f>
        <v>https://www.list-org.com/company/14606056</v>
      </c>
      <c r="B155" s="3" t="s">
        <v>759</v>
      </c>
      <c r="C155" s="3" t="s">
        <v>760</v>
      </c>
      <c r="D155" s="3" t="s">
        <v>14</v>
      </c>
      <c r="E155" s="3" t="s">
        <v>761</v>
      </c>
      <c r="F155" s="3" t="s">
        <v>762</v>
      </c>
      <c r="G155" s="3"/>
      <c r="H155" s="3" t="s">
        <v>763</v>
      </c>
      <c r="I155" s="4"/>
      <c r="J155" s="4"/>
      <c r="K155" s="4"/>
      <c r="L155" s="4"/>
    </row>
    <row r="156" spans="1:12" x14ac:dyDescent="0.25">
      <c r="A156" s="2" t="str">
        <f>HYPERLINK("https://www.list-org.com/company/14610247","https://www.list-org.com/company/14610247")</f>
        <v>https://www.list-org.com/company/14610247</v>
      </c>
      <c r="B156" s="3" t="s">
        <v>764</v>
      </c>
      <c r="C156" s="3" t="s">
        <v>765</v>
      </c>
      <c r="D156" s="3" t="s">
        <v>14</v>
      </c>
      <c r="E156" s="3" t="s">
        <v>766</v>
      </c>
      <c r="F156" s="3" t="s">
        <v>767</v>
      </c>
      <c r="G156" s="3"/>
      <c r="H156" s="3" t="s">
        <v>768</v>
      </c>
      <c r="I156" s="4"/>
      <c r="J156" s="4"/>
      <c r="K156" s="4"/>
      <c r="L156" s="4"/>
    </row>
    <row r="157" spans="1:12" x14ac:dyDescent="0.25">
      <c r="A157" s="2" t="str">
        <f>HYPERLINK("https://www.list-org.com/company/13735170","https://www.list-org.com/company/13735170")</f>
        <v>https://www.list-org.com/company/13735170</v>
      </c>
      <c r="B157" s="3" t="s">
        <v>769</v>
      </c>
      <c r="C157" s="3" t="s">
        <v>770</v>
      </c>
      <c r="D157" s="3" t="s">
        <v>14</v>
      </c>
      <c r="E157" s="3" t="s">
        <v>771</v>
      </c>
      <c r="F157" s="3" t="s">
        <v>772</v>
      </c>
      <c r="G157" s="3"/>
      <c r="H157" s="3" t="s">
        <v>773</v>
      </c>
      <c r="I157" s="4"/>
      <c r="J157" s="4"/>
      <c r="K157" s="4"/>
      <c r="L157" s="4"/>
    </row>
    <row r="158" spans="1:12" x14ac:dyDescent="0.25">
      <c r="A158" s="2" t="str">
        <f>HYPERLINK("https://www.list-org.com/company/13735175","https://www.list-org.com/company/13735175")</f>
        <v>https://www.list-org.com/company/13735175</v>
      </c>
      <c r="B158" s="3" t="s">
        <v>774</v>
      </c>
      <c r="C158" s="3" t="s">
        <v>775</v>
      </c>
      <c r="D158" s="3" t="s">
        <v>14</v>
      </c>
      <c r="E158" s="3" t="s">
        <v>776</v>
      </c>
      <c r="F158" s="3" t="s">
        <v>777</v>
      </c>
      <c r="G158" s="3"/>
      <c r="H158" s="3" t="s">
        <v>778</v>
      </c>
      <c r="I158" s="4"/>
      <c r="J158" s="4"/>
      <c r="K158" s="4"/>
      <c r="L158" s="4"/>
    </row>
    <row r="159" spans="1:12" x14ac:dyDescent="0.25">
      <c r="A159" s="2" t="str">
        <f>HYPERLINK("https://www.list-org.com/company/13735575","https://www.list-org.com/company/13735575")</f>
        <v>https://www.list-org.com/company/13735575</v>
      </c>
      <c r="B159" s="3" t="s">
        <v>779</v>
      </c>
      <c r="C159" s="3" t="s">
        <v>780</v>
      </c>
      <c r="D159" s="3" t="s">
        <v>14</v>
      </c>
      <c r="E159" s="3" t="s">
        <v>781</v>
      </c>
      <c r="F159" s="3" t="s">
        <v>782</v>
      </c>
      <c r="G159" s="3"/>
      <c r="H159" s="3" t="s">
        <v>783</v>
      </c>
      <c r="I159" s="4"/>
      <c r="J159" s="4"/>
      <c r="K159" s="4"/>
      <c r="L159" s="4"/>
    </row>
    <row r="160" spans="1:12" x14ac:dyDescent="0.25">
      <c r="A160" s="2" t="str">
        <f>HYPERLINK("https://www.list-org.com/company/13746911","https://www.list-org.com/company/13746911")</f>
        <v>https://www.list-org.com/company/13746911</v>
      </c>
      <c r="B160" s="3" t="s">
        <v>784</v>
      </c>
      <c r="C160" s="3" t="s">
        <v>785</v>
      </c>
      <c r="D160" s="3" t="s">
        <v>14</v>
      </c>
      <c r="E160" s="3" t="s">
        <v>786</v>
      </c>
      <c r="F160" s="3" t="s">
        <v>787</v>
      </c>
      <c r="G160" s="3"/>
      <c r="H160" s="3" t="s">
        <v>788</v>
      </c>
      <c r="I160" s="4">
        <v>2</v>
      </c>
      <c r="J160" s="4">
        <v>113222</v>
      </c>
      <c r="K160" s="4">
        <v>684</v>
      </c>
      <c r="L160" s="4">
        <v>1555</v>
      </c>
    </row>
    <row r="161" spans="1:12" x14ac:dyDescent="0.25">
      <c r="A161" s="2" t="str">
        <f>HYPERLINK("https://www.list-org.com/company/13765784","https://www.list-org.com/company/13765784")</f>
        <v>https://www.list-org.com/company/13765784</v>
      </c>
      <c r="B161" s="3" t="s">
        <v>789</v>
      </c>
      <c r="C161" s="3" t="s">
        <v>790</v>
      </c>
      <c r="D161" s="3" t="s">
        <v>14</v>
      </c>
      <c r="E161" s="3" t="s">
        <v>791</v>
      </c>
      <c r="F161" s="3" t="s">
        <v>792</v>
      </c>
      <c r="G161" s="3"/>
      <c r="H161" s="3" t="s">
        <v>793</v>
      </c>
      <c r="I161" s="4"/>
      <c r="J161" s="4"/>
      <c r="K161" s="4"/>
      <c r="L161" s="4"/>
    </row>
    <row r="162" spans="1:12" x14ac:dyDescent="0.25">
      <c r="A162" s="2" t="str">
        <f>HYPERLINK("https://www.list-org.com/company/13774349","https://www.list-org.com/company/13774349")</f>
        <v>https://www.list-org.com/company/13774349</v>
      </c>
      <c r="B162" s="3" t="s">
        <v>794</v>
      </c>
      <c r="C162" s="3" t="s">
        <v>795</v>
      </c>
      <c r="D162" s="3" t="s">
        <v>14</v>
      </c>
      <c r="E162" s="3" t="s">
        <v>796</v>
      </c>
      <c r="F162" s="3" t="s">
        <v>797</v>
      </c>
      <c r="G162" s="3"/>
      <c r="H162" s="3" t="s">
        <v>17</v>
      </c>
      <c r="I162" s="4"/>
      <c r="J162" s="4"/>
      <c r="K162" s="4"/>
      <c r="L162" s="4"/>
    </row>
    <row r="163" spans="1:12" x14ac:dyDescent="0.25">
      <c r="A163" s="2" t="str">
        <f>HYPERLINK("https://www.list-org.com/company/13775488","https://www.list-org.com/company/13775488")</f>
        <v>https://www.list-org.com/company/13775488</v>
      </c>
      <c r="B163" s="3" t="s">
        <v>798</v>
      </c>
      <c r="C163" s="3" t="s">
        <v>799</v>
      </c>
      <c r="D163" s="3" t="s">
        <v>14</v>
      </c>
      <c r="E163" s="3" t="s">
        <v>800</v>
      </c>
      <c r="F163" s="3" t="s">
        <v>801</v>
      </c>
      <c r="G163" s="3"/>
      <c r="H163" s="3" t="s">
        <v>778</v>
      </c>
      <c r="I163" s="4"/>
      <c r="J163" s="4"/>
      <c r="K163" s="4"/>
      <c r="L163" s="4"/>
    </row>
    <row r="164" spans="1:12" x14ac:dyDescent="0.25">
      <c r="A164" s="2" t="str">
        <f>HYPERLINK("https://www.list-org.com/company/13775541","https://www.list-org.com/company/13775541")</f>
        <v>https://www.list-org.com/company/13775541</v>
      </c>
      <c r="B164" s="3" t="s">
        <v>802</v>
      </c>
      <c r="C164" s="3" t="s">
        <v>803</v>
      </c>
      <c r="D164" s="3" t="s">
        <v>14</v>
      </c>
      <c r="E164" s="3" t="s">
        <v>804</v>
      </c>
      <c r="F164" s="3" t="s">
        <v>805</v>
      </c>
      <c r="G164" s="3"/>
      <c r="H164" s="3" t="s">
        <v>806</v>
      </c>
      <c r="I164" s="4"/>
      <c r="J164" s="4"/>
      <c r="K164" s="4"/>
      <c r="L164" s="4"/>
    </row>
    <row r="165" spans="1:12" x14ac:dyDescent="0.25">
      <c r="A165" s="2" t="str">
        <f>HYPERLINK("https://www.list-org.com/company/13775542","https://www.list-org.com/company/13775542")</f>
        <v>https://www.list-org.com/company/13775542</v>
      </c>
      <c r="B165" s="3" t="s">
        <v>807</v>
      </c>
      <c r="C165" s="3" t="s">
        <v>808</v>
      </c>
      <c r="D165" s="3" t="s">
        <v>14</v>
      </c>
      <c r="E165" s="3" t="s">
        <v>809</v>
      </c>
      <c r="F165" s="3" t="s">
        <v>810</v>
      </c>
      <c r="G165" s="3"/>
      <c r="H165" s="3" t="s">
        <v>811</v>
      </c>
      <c r="I165" s="4"/>
      <c r="J165" s="4"/>
      <c r="K165" s="4"/>
      <c r="L165" s="4"/>
    </row>
    <row r="166" spans="1:12" x14ac:dyDescent="0.25">
      <c r="A166" s="2" t="str">
        <f>HYPERLINK("https://www.list-org.com/company/13775544","https://www.list-org.com/company/13775544")</f>
        <v>https://www.list-org.com/company/13775544</v>
      </c>
      <c r="B166" s="3" t="s">
        <v>812</v>
      </c>
      <c r="C166" s="3" t="s">
        <v>813</v>
      </c>
      <c r="D166" s="3" t="s">
        <v>14</v>
      </c>
      <c r="E166" s="3" t="s">
        <v>814</v>
      </c>
      <c r="F166" s="3" t="s">
        <v>815</v>
      </c>
      <c r="G166" s="3"/>
      <c r="H166" s="3" t="s">
        <v>816</v>
      </c>
      <c r="I166" s="4"/>
      <c r="J166" s="4"/>
      <c r="K166" s="4"/>
      <c r="L166" s="4"/>
    </row>
    <row r="167" spans="1:12" x14ac:dyDescent="0.25">
      <c r="A167" s="2" t="str">
        <f>HYPERLINK("https://www.list-org.com/company/13775551","https://www.list-org.com/company/13775551")</f>
        <v>https://www.list-org.com/company/13775551</v>
      </c>
      <c r="B167" s="3" t="s">
        <v>817</v>
      </c>
      <c r="C167" s="3" t="s">
        <v>818</v>
      </c>
      <c r="D167" s="3" t="s">
        <v>14</v>
      </c>
      <c r="E167" s="3" t="s">
        <v>819</v>
      </c>
      <c r="F167" s="3" t="s">
        <v>820</v>
      </c>
      <c r="G167" s="3"/>
      <c r="H167" s="3" t="s">
        <v>821</v>
      </c>
      <c r="I167" s="4"/>
      <c r="J167" s="4"/>
      <c r="K167" s="4"/>
      <c r="L167" s="4"/>
    </row>
    <row r="168" spans="1:12" x14ac:dyDescent="0.25">
      <c r="A168" s="2" t="str">
        <f>HYPERLINK("https://www.list-org.com/company/13775907","https://www.list-org.com/company/13775907")</f>
        <v>https://www.list-org.com/company/13775907</v>
      </c>
      <c r="B168" s="3" t="s">
        <v>822</v>
      </c>
      <c r="C168" s="3" t="s">
        <v>823</v>
      </c>
      <c r="D168" s="3" t="s">
        <v>14</v>
      </c>
      <c r="E168" s="3" t="s">
        <v>824</v>
      </c>
      <c r="F168" s="3" t="s">
        <v>825</v>
      </c>
      <c r="G168" s="3"/>
      <c r="H168" s="3" t="s">
        <v>826</v>
      </c>
      <c r="I168" s="4"/>
      <c r="J168" s="4"/>
      <c r="K168" s="4"/>
      <c r="L168" s="4"/>
    </row>
    <row r="169" spans="1:12" x14ac:dyDescent="0.25">
      <c r="A169" s="2" t="str">
        <f>HYPERLINK("https://www.list-org.com/company/13957331","https://www.list-org.com/company/13957331")</f>
        <v>https://www.list-org.com/company/13957331</v>
      </c>
      <c r="B169" s="3" t="s">
        <v>827</v>
      </c>
      <c r="C169" s="3" t="s">
        <v>828</v>
      </c>
      <c r="D169" s="3" t="s">
        <v>14</v>
      </c>
      <c r="E169" s="3" t="s">
        <v>829</v>
      </c>
      <c r="F169" s="3" t="s">
        <v>830</v>
      </c>
      <c r="G169" s="3"/>
      <c r="H169" s="3" t="s">
        <v>831</v>
      </c>
      <c r="I169" s="4">
        <v>1</v>
      </c>
      <c r="J169" s="4">
        <v>793</v>
      </c>
      <c r="K169" s="4">
        <v>-544</v>
      </c>
      <c r="L169" s="4">
        <v>-544</v>
      </c>
    </row>
    <row r="170" spans="1:12" x14ac:dyDescent="0.25">
      <c r="A170" s="2" t="str">
        <f>HYPERLINK("https://www.list-org.com/company/14128752","https://www.list-org.com/company/14128752")</f>
        <v>https://www.list-org.com/company/14128752</v>
      </c>
      <c r="B170" s="3" t="s">
        <v>832</v>
      </c>
      <c r="C170" s="3" t="s">
        <v>833</v>
      </c>
      <c r="D170" s="3" t="s">
        <v>14</v>
      </c>
      <c r="E170" s="3" t="s">
        <v>834</v>
      </c>
      <c r="F170" s="3" t="s">
        <v>835</v>
      </c>
      <c r="G170" s="3"/>
      <c r="H170" s="3" t="s">
        <v>836</v>
      </c>
      <c r="I170" s="4"/>
      <c r="J170" s="4"/>
      <c r="K170" s="4"/>
      <c r="L170" s="4"/>
    </row>
    <row r="171" spans="1:12" x14ac:dyDescent="0.25">
      <c r="A171" s="2" t="str">
        <f>HYPERLINK("https://www.list-org.com/company/14132616","https://www.list-org.com/company/14132616")</f>
        <v>https://www.list-org.com/company/14132616</v>
      </c>
      <c r="B171" s="3" t="s">
        <v>837</v>
      </c>
      <c r="C171" s="3" t="s">
        <v>838</v>
      </c>
      <c r="D171" s="3" t="s">
        <v>14</v>
      </c>
      <c r="E171" s="3" t="s">
        <v>839</v>
      </c>
      <c r="F171" s="3" t="s">
        <v>840</v>
      </c>
      <c r="G171" s="3"/>
      <c r="H171" s="3" t="s">
        <v>841</v>
      </c>
      <c r="I171" s="4"/>
      <c r="J171" s="4"/>
      <c r="K171" s="4"/>
      <c r="L171" s="4"/>
    </row>
    <row r="172" spans="1:12" x14ac:dyDescent="0.25">
      <c r="A172" s="2" t="str">
        <f>HYPERLINK("https://www.list-org.com/company/14139662","https://www.list-org.com/company/14139662")</f>
        <v>https://www.list-org.com/company/14139662</v>
      </c>
      <c r="B172" s="3" t="s">
        <v>842</v>
      </c>
      <c r="C172" s="3" t="s">
        <v>843</v>
      </c>
      <c r="D172" s="3" t="s">
        <v>14</v>
      </c>
      <c r="E172" s="3" t="s">
        <v>844</v>
      </c>
      <c r="F172" s="3" t="s">
        <v>845</v>
      </c>
      <c r="G172" s="3"/>
      <c r="H172" s="3" t="s">
        <v>846</v>
      </c>
      <c r="I172" s="4"/>
      <c r="J172" s="4"/>
      <c r="K172" s="4"/>
      <c r="L172" s="4"/>
    </row>
    <row r="173" spans="1:12" x14ac:dyDescent="0.25">
      <c r="A173" s="2" t="str">
        <f>HYPERLINK("https://www.list-org.com/company/14157346","https://www.list-org.com/company/14157346")</f>
        <v>https://www.list-org.com/company/14157346</v>
      </c>
      <c r="B173" s="3" t="s">
        <v>847</v>
      </c>
      <c r="C173" s="3" t="s">
        <v>848</v>
      </c>
      <c r="D173" s="3" t="s">
        <v>14</v>
      </c>
      <c r="E173" s="3" t="s">
        <v>849</v>
      </c>
      <c r="F173" s="3" t="s">
        <v>850</v>
      </c>
      <c r="G173" s="3"/>
      <c r="H173" s="3" t="s">
        <v>851</v>
      </c>
      <c r="I173" s="4"/>
      <c r="J173" s="4"/>
      <c r="K173" s="4"/>
      <c r="L173" s="4"/>
    </row>
    <row r="174" spans="1:12" x14ac:dyDescent="0.25">
      <c r="A174" s="2" t="str">
        <f>HYPERLINK("https://www.list-org.com/company/14218243","https://www.list-org.com/company/14218243")</f>
        <v>https://www.list-org.com/company/14218243</v>
      </c>
      <c r="B174" s="3" t="s">
        <v>852</v>
      </c>
      <c r="C174" s="3" t="s">
        <v>853</v>
      </c>
      <c r="D174" s="3" t="s">
        <v>14</v>
      </c>
      <c r="E174" s="3" t="s">
        <v>854</v>
      </c>
      <c r="F174" s="3" t="s">
        <v>855</v>
      </c>
      <c r="G174" s="3"/>
      <c r="H174" s="3" t="s">
        <v>856</v>
      </c>
      <c r="I174" s="4"/>
      <c r="J174" s="4"/>
      <c r="K174" s="4"/>
      <c r="L174" s="4"/>
    </row>
    <row r="175" spans="1:12" x14ac:dyDescent="0.25">
      <c r="A175" s="2" t="str">
        <f>HYPERLINK("https://www.list-org.com/company/14229749","https://www.list-org.com/company/14229749")</f>
        <v>https://www.list-org.com/company/14229749</v>
      </c>
      <c r="B175" s="3" t="s">
        <v>857</v>
      </c>
      <c r="C175" s="3" t="s">
        <v>858</v>
      </c>
      <c r="D175" s="3" t="s">
        <v>14</v>
      </c>
      <c r="E175" s="3" t="s">
        <v>859</v>
      </c>
      <c r="F175" s="3" t="s">
        <v>860</v>
      </c>
      <c r="G175" s="3"/>
      <c r="H175" s="3" t="s">
        <v>861</v>
      </c>
      <c r="I175" s="4"/>
      <c r="J175" s="4"/>
      <c r="K175" s="4"/>
      <c r="L175" s="4"/>
    </row>
    <row r="176" spans="1:12" x14ac:dyDescent="0.25">
      <c r="A176" s="2" t="str">
        <f>HYPERLINK("https://www.list-org.com/company/14240192","https://www.list-org.com/company/14240192")</f>
        <v>https://www.list-org.com/company/14240192</v>
      </c>
      <c r="B176" s="3" t="s">
        <v>862</v>
      </c>
      <c r="C176" s="3" t="s">
        <v>863</v>
      </c>
      <c r="D176" s="3" t="s">
        <v>14</v>
      </c>
      <c r="E176" s="3" t="s">
        <v>864</v>
      </c>
      <c r="F176" s="3" t="s">
        <v>865</v>
      </c>
      <c r="G176" s="3"/>
      <c r="H176" s="3" t="s">
        <v>866</v>
      </c>
      <c r="I176" s="4"/>
      <c r="J176" s="4"/>
      <c r="K176" s="4"/>
      <c r="L176" s="4"/>
    </row>
    <row r="177" spans="1:12" x14ac:dyDescent="0.25">
      <c r="A177" s="2" t="str">
        <f>HYPERLINK("https://www.list-org.com/company/14244396","https://www.list-org.com/company/14244396")</f>
        <v>https://www.list-org.com/company/14244396</v>
      </c>
      <c r="B177" s="3" t="s">
        <v>867</v>
      </c>
      <c r="C177" s="3" t="s">
        <v>868</v>
      </c>
      <c r="D177" s="3" t="s">
        <v>14</v>
      </c>
      <c r="E177" s="3" t="s">
        <v>869</v>
      </c>
      <c r="F177" s="3" t="s">
        <v>870</v>
      </c>
      <c r="G177" s="3"/>
      <c r="H177" s="3" t="s">
        <v>871</v>
      </c>
      <c r="I177" s="4"/>
      <c r="J177" s="4"/>
      <c r="K177" s="4"/>
      <c r="L177" s="4"/>
    </row>
    <row r="178" spans="1:12" x14ac:dyDescent="0.25">
      <c r="A178" s="2" t="str">
        <f>HYPERLINK("https://www.list-org.com/company/14342266","https://www.list-org.com/company/14342266")</f>
        <v>https://www.list-org.com/company/14342266</v>
      </c>
      <c r="B178" s="3" t="s">
        <v>872</v>
      </c>
      <c r="C178" s="3" t="s">
        <v>873</v>
      </c>
      <c r="D178" s="3" t="s">
        <v>14</v>
      </c>
      <c r="E178" s="3" t="s">
        <v>874</v>
      </c>
      <c r="F178" s="3" t="s">
        <v>875</v>
      </c>
      <c r="G178" s="3"/>
      <c r="H178" s="3" t="s">
        <v>876</v>
      </c>
      <c r="I178" s="4">
        <v>1</v>
      </c>
      <c r="J178" s="4">
        <v>6512</v>
      </c>
      <c r="K178" s="4">
        <v>-13601</v>
      </c>
      <c r="L178" s="4">
        <v>-13502</v>
      </c>
    </row>
    <row r="179" spans="1:12" x14ac:dyDescent="0.25">
      <c r="A179" s="2" t="str">
        <f>HYPERLINK("https://www.list-org.com/company/14472724","https://www.list-org.com/company/14472724")</f>
        <v>https://www.list-org.com/company/14472724</v>
      </c>
      <c r="B179" s="3" t="s">
        <v>877</v>
      </c>
      <c r="C179" s="3" t="s">
        <v>877</v>
      </c>
      <c r="D179" s="3" t="s">
        <v>14</v>
      </c>
      <c r="E179" s="3" t="s">
        <v>878</v>
      </c>
      <c r="F179" s="3" t="s">
        <v>879</v>
      </c>
      <c r="G179" s="3"/>
      <c r="H179" s="3" t="s">
        <v>880</v>
      </c>
      <c r="I179" s="4"/>
      <c r="J179" s="4"/>
      <c r="K179" s="4"/>
      <c r="L179" s="4"/>
    </row>
    <row r="180" spans="1:12" x14ac:dyDescent="0.25">
      <c r="A180" s="2" t="str">
        <f>HYPERLINK("https://www.list-org.com/company/14472727","https://www.list-org.com/company/14472727")</f>
        <v>https://www.list-org.com/company/14472727</v>
      </c>
      <c r="B180" s="3" t="s">
        <v>881</v>
      </c>
      <c r="C180" s="3" t="s">
        <v>881</v>
      </c>
      <c r="D180" s="3" t="s">
        <v>14</v>
      </c>
      <c r="E180" s="3" t="s">
        <v>882</v>
      </c>
      <c r="F180" s="3" t="s">
        <v>883</v>
      </c>
      <c r="G180" s="3"/>
      <c r="H180" s="3" t="s">
        <v>884</v>
      </c>
      <c r="I180" s="4"/>
      <c r="J180" s="4"/>
      <c r="K180" s="4"/>
      <c r="L180" s="4"/>
    </row>
    <row r="181" spans="1:12" x14ac:dyDescent="0.25">
      <c r="A181" s="2" t="str">
        <f>HYPERLINK("https://www.list-org.com/company/14472769","https://www.list-org.com/company/14472769")</f>
        <v>https://www.list-org.com/company/14472769</v>
      </c>
      <c r="B181" s="3" t="s">
        <v>885</v>
      </c>
      <c r="C181" s="3" t="s">
        <v>885</v>
      </c>
      <c r="D181" s="3" t="s">
        <v>14</v>
      </c>
      <c r="E181" s="3" t="s">
        <v>886</v>
      </c>
      <c r="F181" s="3" t="s">
        <v>887</v>
      </c>
      <c r="G181" s="3"/>
      <c r="H181" s="3" t="s">
        <v>888</v>
      </c>
      <c r="I181" s="4"/>
      <c r="J181" s="4"/>
      <c r="K181" s="4"/>
      <c r="L181" s="4"/>
    </row>
    <row r="182" spans="1:12" x14ac:dyDescent="0.25">
      <c r="A182" s="2" t="str">
        <f>HYPERLINK("https://www.list-org.com/company/14485121","https://www.list-org.com/company/14485121")</f>
        <v>https://www.list-org.com/company/14485121</v>
      </c>
      <c r="B182" s="3" t="s">
        <v>889</v>
      </c>
      <c r="C182" s="3" t="s">
        <v>890</v>
      </c>
      <c r="D182" s="3" t="s">
        <v>14</v>
      </c>
      <c r="E182" s="3" t="s">
        <v>891</v>
      </c>
      <c r="F182" s="3" t="s">
        <v>892</v>
      </c>
      <c r="G182" s="3"/>
      <c r="H182" s="3" t="s">
        <v>893</v>
      </c>
      <c r="I182" s="4"/>
      <c r="J182" s="4"/>
      <c r="K182" s="4"/>
      <c r="L182" s="4"/>
    </row>
    <row r="183" spans="1:12" x14ac:dyDescent="0.25">
      <c r="A183" s="2" t="str">
        <f>HYPERLINK("https://www.list-org.com/company/14542940","https://www.list-org.com/company/14542940")</f>
        <v>https://www.list-org.com/company/14542940</v>
      </c>
      <c r="B183" s="3" t="s">
        <v>894</v>
      </c>
      <c r="C183" s="3" t="s">
        <v>895</v>
      </c>
      <c r="D183" s="3" t="s">
        <v>14</v>
      </c>
      <c r="E183" s="3" t="s">
        <v>896</v>
      </c>
      <c r="F183" s="3" t="s">
        <v>897</v>
      </c>
      <c r="G183" s="3"/>
      <c r="H183" s="3" t="s">
        <v>898</v>
      </c>
      <c r="I183" s="4"/>
      <c r="J183" s="4"/>
      <c r="K183" s="4"/>
      <c r="L183" s="4"/>
    </row>
    <row r="184" spans="1:12" x14ac:dyDescent="0.25">
      <c r="A184" s="2" t="str">
        <f>HYPERLINK("https://www.list-org.com/company/14543123","https://www.list-org.com/company/14543123")</f>
        <v>https://www.list-org.com/company/14543123</v>
      </c>
      <c r="B184" s="3" t="s">
        <v>899</v>
      </c>
      <c r="C184" s="3" t="s">
        <v>900</v>
      </c>
      <c r="D184" s="3" t="s">
        <v>14</v>
      </c>
      <c r="E184" s="3" t="s">
        <v>901</v>
      </c>
      <c r="F184" s="3" t="s">
        <v>902</v>
      </c>
      <c r="G184" s="3"/>
      <c r="H184" s="3" t="s">
        <v>903</v>
      </c>
      <c r="I184" s="4"/>
      <c r="J184" s="4"/>
      <c r="K184" s="4"/>
      <c r="L184" s="4"/>
    </row>
    <row r="185" spans="1:12" x14ac:dyDescent="0.25">
      <c r="A185" s="2" t="str">
        <f>HYPERLINK("https://www.list-org.com/company/14560835","https://www.list-org.com/company/14560835")</f>
        <v>https://www.list-org.com/company/14560835</v>
      </c>
      <c r="B185" s="3" t="s">
        <v>904</v>
      </c>
      <c r="C185" s="3" t="s">
        <v>905</v>
      </c>
      <c r="D185" s="3" t="s">
        <v>14</v>
      </c>
      <c r="E185" s="3" t="s">
        <v>906</v>
      </c>
      <c r="F185" s="3" t="s">
        <v>907</v>
      </c>
      <c r="G185" s="3"/>
      <c r="H185" s="3" t="s">
        <v>908</v>
      </c>
      <c r="I185" s="4"/>
      <c r="J185" s="4"/>
      <c r="K185" s="4"/>
      <c r="L185" s="4"/>
    </row>
    <row r="186" spans="1:12" x14ac:dyDescent="0.25">
      <c r="A186" s="2" t="str">
        <f>HYPERLINK("https://www.list-org.com/company/14784856","https://www.list-org.com/company/14784856")</f>
        <v>https://www.list-org.com/company/14784856</v>
      </c>
      <c r="B186" s="3" t="s">
        <v>909</v>
      </c>
      <c r="C186" s="3" t="s">
        <v>910</v>
      </c>
      <c r="D186" s="3" t="s">
        <v>14</v>
      </c>
      <c r="E186" s="3" t="s">
        <v>911</v>
      </c>
      <c r="F186" s="3" t="s">
        <v>912</v>
      </c>
      <c r="G186" s="3"/>
      <c r="H186" s="3" t="s">
        <v>913</v>
      </c>
      <c r="I186" s="4"/>
      <c r="J186" s="4"/>
      <c r="K186" s="4"/>
      <c r="L186" s="4"/>
    </row>
    <row r="187" spans="1:12" x14ac:dyDescent="0.25">
      <c r="A187" s="2" t="str">
        <f>HYPERLINK("https://www.list-org.com/company/13720895","https://www.list-org.com/company/13720895")</f>
        <v>https://www.list-org.com/company/13720895</v>
      </c>
      <c r="B187" s="3" t="s">
        <v>914</v>
      </c>
      <c r="C187" s="3" t="s">
        <v>915</v>
      </c>
      <c r="D187" s="3" t="s">
        <v>14</v>
      </c>
      <c r="E187" s="3" t="s">
        <v>916</v>
      </c>
      <c r="F187" s="3" t="s">
        <v>917</v>
      </c>
      <c r="G187" s="3"/>
      <c r="H187" s="3" t="s">
        <v>918</v>
      </c>
      <c r="I187" s="4"/>
      <c r="J187" s="4">
        <v>3584</v>
      </c>
      <c r="K187" s="4">
        <v>40</v>
      </c>
      <c r="L187" s="4">
        <v>155</v>
      </c>
    </row>
    <row r="188" spans="1:12" x14ac:dyDescent="0.25">
      <c r="A188" s="2" t="str">
        <f>HYPERLINK("https://www.list-org.com/company/13724773","https://www.list-org.com/company/13724773")</f>
        <v>https://www.list-org.com/company/13724773</v>
      </c>
      <c r="B188" s="3" t="s">
        <v>919</v>
      </c>
      <c r="C188" s="3" t="s">
        <v>920</v>
      </c>
      <c r="D188" s="3" t="s">
        <v>14</v>
      </c>
      <c r="E188" s="3" t="s">
        <v>921</v>
      </c>
      <c r="F188" s="3" t="s">
        <v>922</v>
      </c>
      <c r="G188" s="3"/>
      <c r="H188" s="3" t="s">
        <v>923</v>
      </c>
      <c r="I188" s="4"/>
      <c r="J188" s="4"/>
      <c r="K188" s="4"/>
      <c r="L188" s="4"/>
    </row>
    <row r="189" spans="1:12" x14ac:dyDescent="0.25">
      <c r="A189" s="2" t="str">
        <f>HYPERLINK("https://www.list-org.com/company/13727619","https://www.list-org.com/company/13727619")</f>
        <v>https://www.list-org.com/company/13727619</v>
      </c>
      <c r="B189" s="3" t="s">
        <v>924</v>
      </c>
      <c r="C189" s="3" t="s">
        <v>925</v>
      </c>
      <c r="D189" s="3" t="s">
        <v>14</v>
      </c>
      <c r="E189" s="3" t="s">
        <v>926</v>
      </c>
      <c r="F189" s="3" t="s">
        <v>927</v>
      </c>
      <c r="G189" s="3"/>
      <c r="H189" s="3" t="s">
        <v>928</v>
      </c>
      <c r="I189" s="4"/>
      <c r="J189" s="4"/>
      <c r="K189" s="4"/>
      <c r="L189" s="4"/>
    </row>
    <row r="190" spans="1:12" x14ac:dyDescent="0.25">
      <c r="A190" s="2" t="str">
        <f>HYPERLINK("https://www.list-org.com/company/13731413","https://www.list-org.com/company/13731413")</f>
        <v>https://www.list-org.com/company/13731413</v>
      </c>
      <c r="B190" s="3" t="s">
        <v>929</v>
      </c>
      <c r="C190" s="3" t="s">
        <v>930</v>
      </c>
      <c r="D190" s="3" t="s">
        <v>14</v>
      </c>
      <c r="E190" s="3" t="s">
        <v>931</v>
      </c>
      <c r="F190" s="3" t="s">
        <v>932</v>
      </c>
      <c r="G190" s="3"/>
      <c r="H190" s="3" t="s">
        <v>933</v>
      </c>
      <c r="I190" s="4"/>
      <c r="J190" s="4"/>
      <c r="K190" s="4"/>
      <c r="L190" s="4"/>
    </row>
    <row r="191" spans="1:12" x14ac:dyDescent="0.25">
      <c r="A191" s="2" t="str">
        <f>HYPERLINK("https://www.list-org.com/company/13731472","https://www.list-org.com/company/13731472")</f>
        <v>https://www.list-org.com/company/13731472</v>
      </c>
      <c r="B191" s="3" t="s">
        <v>934</v>
      </c>
      <c r="C191" s="3" t="s">
        <v>935</v>
      </c>
      <c r="D191" s="3" t="s">
        <v>14</v>
      </c>
      <c r="E191" s="3" t="s">
        <v>936</v>
      </c>
      <c r="F191" s="3" t="s">
        <v>937</v>
      </c>
      <c r="G191" s="3"/>
      <c r="H191" s="3" t="s">
        <v>938</v>
      </c>
      <c r="I191" s="4"/>
      <c r="J191" s="4"/>
      <c r="K191" s="4"/>
      <c r="L191" s="4"/>
    </row>
    <row r="192" spans="1:12" x14ac:dyDescent="0.25">
      <c r="A192" s="2" t="str">
        <f>HYPERLINK("https://www.list-org.com/company/13731485","https://www.list-org.com/company/13731485")</f>
        <v>https://www.list-org.com/company/13731485</v>
      </c>
      <c r="B192" s="3" t="s">
        <v>939</v>
      </c>
      <c r="C192" s="3" t="s">
        <v>940</v>
      </c>
      <c r="D192" s="3" t="s">
        <v>14</v>
      </c>
      <c r="E192" s="3" t="s">
        <v>941</v>
      </c>
      <c r="F192" s="3" t="s">
        <v>942</v>
      </c>
      <c r="G192" s="3"/>
      <c r="H192" s="3" t="s">
        <v>943</v>
      </c>
      <c r="I192" s="4"/>
      <c r="J192" s="4"/>
      <c r="K192" s="4"/>
      <c r="L192" s="4"/>
    </row>
    <row r="193" spans="1:12" x14ac:dyDescent="0.25">
      <c r="A193" s="2" t="str">
        <f>HYPERLINK("https://www.list-org.com/company/13731653","https://www.list-org.com/company/13731653")</f>
        <v>https://www.list-org.com/company/13731653</v>
      </c>
      <c r="B193" s="3" t="s">
        <v>944</v>
      </c>
      <c r="C193" s="3" t="s">
        <v>945</v>
      </c>
      <c r="D193" s="3" t="s">
        <v>14</v>
      </c>
      <c r="E193" s="3" t="s">
        <v>946</v>
      </c>
      <c r="F193" s="3" t="s">
        <v>947</v>
      </c>
      <c r="G193" s="3"/>
      <c r="H193" s="3" t="s">
        <v>948</v>
      </c>
      <c r="I193" s="4"/>
      <c r="J193" s="4"/>
      <c r="K193" s="4"/>
      <c r="L193" s="4"/>
    </row>
    <row r="194" spans="1:12" x14ac:dyDescent="0.25">
      <c r="A194" s="2" t="str">
        <f>HYPERLINK("https://www.list-org.com/company/13731680","https://www.list-org.com/company/13731680")</f>
        <v>https://www.list-org.com/company/13731680</v>
      </c>
      <c r="B194" s="3" t="s">
        <v>949</v>
      </c>
      <c r="C194" s="3" t="s">
        <v>950</v>
      </c>
      <c r="D194" s="3" t="s">
        <v>14</v>
      </c>
      <c r="E194" s="3" t="s">
        <v>951</v>
      </c>
      <c r="F194" s="3" t="s">
        <v>952</v>
      </c>
      <c r="G194" s="3"/>
      <c r="H194" s="3" t="s">
        <v>953</v>
      </c>
      <c r="I194" s="4"/>
      <c r="J194" s="4"/>
      <c r="K194" s="4"/>
      <c r="L194" s="4"/>
    </row>
    <row r="195" spans="1:12" x14ac:dyDescent="0.25">
      <c r="A195" s="2" t="str">
        <f>HYPERLINK("https://www.list-org.com/company/13731683","https://www.list-org.com/company/13731683")</f>
        <v>https://www.list-org.com/company/13731683</v>
      </c>
      <c r="B195" s="3" t="s">
        <v>954</v>
      </c>
      <c r="C195" s="3" t="s">
        <v>955</v>
      </c>
      <c r="D195" s="3" t="s">
        <v>14</v>
      </c>
      <c r="E195" s="3" t="s">
        <v>956</v>
      </c>
      <c r="F195" s="3" t="s">
        <v>957</v>
      </c>
      <c r="G195" s="3"/>
      <c r="H195" s="3" t="s">
        <v>958</v>
      </c>
      <c r="I195" s="4"/>
      <c r="J195" s="4"/>
      <c r="K195" s="4"/>
      <c r="L195" s="4"/>
    </row>
    <row r="196" spans="1:12" x14ac:dyDescent="0.25">
      <c r="A196" s="2" t="str">
        <f>HYPERLINK("https://www.list-org.com/company/13731743","https://www.list-org.com/company/13731743")</f>
        <v>https://www.list-org.com/company/13731743</v>
      </c>
      <c r="B196" s="3" t="s">
        <v>959</v>
      </c>
      <c r="C196" s="3" t="s">
        <v>960</v>
      </c>
      <c r="D196" s="3" t="s">
        <v>14</v>
      </c>
      <c r="E196" s="3" t="s">
        <v>961</v>
      </c>
      <c r="F196" s="3" t="s">
        <v>962</v>
      </c>
      <c r="G196" s="3"/>
      <c r="H196" s="3" t="s">
        <v>963</v>
      </c>
      <c r="I196" s="4">
        <v>9</v>
      </c>
      <c r="J196" s="4">
        <v>5342</v>
      </c>
      <c r="K196" s="4">
        <v>63</v>
      </c>
      <c r="L196" s="4">
        <v>73</v>
      </c>
    </row>
    <row r="197" spans="1:12" x14ac:dyDescent="0.25">
      <c r="A197" s="2" t="str">
        <f>HYPERLINK("https://www.list-org.com/company/13731986","https://www.list-org.com/company/13731986")</f>
        <v>https://www.list-org.com/company/13731986</v>
      </c>
      <c r="B197" s="3" t="s">
        <v>964</v>
      </c>
      <c r="C197" s="3" t="s">
        <v>965</v>
      </c>
      <c r="D197" s="3" t="s">
        <v>14</v>
      </c>
      <c r="E197" s="3" t="s">
        <v>966</v>
      </c>
      <c r="F197" s="3" t="s">
        <v>967</v>
      </c>
      <c r="G197" s="3"/>
      <c r="H197" s="3" t="s">
        <v>968</v>
      </c>
      <c r="I197" s="4"/>
      <c r="J197" s="4"/>
      <c r="K197" s="4"/>
      <c r="L197" s="4"/>
    </row>
    <row r="198" spans="1:12" x14ac:dyDescent="0.25">
      <c r="A198" s="2" t="str">
        <f>HYPERLINK("https://www.list-org.com/company/13732061","https://www.list-org.com/company/13732061")</f>
        <v>https://www.list-org.com/company/13732061</v>
      </c>
      <c r="B198" s="3" t="s">
        <v>969</v>
      </c>
      <c r="C198" s="3" t="s">
        <v>970</v>
      </c>
      <c r="D198" s="3" t="s">
        <v>14</v>
      </c>
      <c r="E198" s="3" t="s">
        <v>971</v>
      </c>
      <c r="F198" s="3" t="s">
        <v>972</v>
      </c>
      <c r="G198" s="3"/>
      <c r="H198" s="3" t="s">
        <v>186</v>
      </c>
      <c r="I198" s="4"/>
      <c r="J198" s="4"/>
      <c r="K198" s="4"/>
      <c r="L198" s="4"/>
    </row>
    <row r="199" spans="1:12" x14ac:dyDescent="0.25">
      <c r="A199" s="2" t="str">
        <f>HYPERLINK("https://www.list-org.com/company/13732067","https://www.list-org.com/company/13732067")</f>
        <v>https://www.list-org.com/company/13732067</v>
      </c>
      <c r="B199" s="3" t="s">
        <v>973</v>
      </c>
      <c r="C199" s="3" t="s">
        <v>974</v>
      </c>
      <c r="D199" s="3" t="s">
        <v>14</v>
      </c>
      <c r="E199" s="3" t="s">
        <v>975</v>
      </c>
      <c r="F199" s="3" t="s">
        <v>976</v>
      </c>
      <c r="G199" s="3"/>
      <c r="H199" s="3" t="s">
        <v>483</v>
      </c>
      <c r="I199" s="4"/>
      <c r="J199" s="4"/>
      <c r="K199" s="4"/>
      <c r="L199" s="4"/>
    </row>
    <row r="200" spans="1:12" x14ac:dyDescent="0.25">
      <c r="A200" s="2" t="str">
        <f>HYPERLINK("https://www.list-org.com/company/13732625","https://www.list-org.com/company/13732625")</f>
        <v>https://www.list-org.com/company/13732625</v>
      </c>
      <c r="B200" s="3" t="s">
        <v>977</v>
      </c>
      <c r="C200" s="3" t="s">
        <v>978</v>
      </c>
      <c r="D200" s="3" t="s">
        <v>14</v>
      </c>
      <c r="E200" s="3" t="s">
        <v>979</v>
      </c>
      <c r="F200" s="3" t="s">
        <v>980</v>
      </c>
      <c r="G200" s="3" t="s">
        <v>981</v>
      </c>
      <c r="H200" s="3" t="s">
        <v>111</v>
      </c>
      <c r="I200" s="4"/>
      <c r="J200" s="4"/>
      <c r="K200" s="4"/>
      <c r="L200" s="4"/>
    </row>
    <row r="201" spans="1:12" x14ac:dyDescent="0.25">
      <c r="A201" s="2" t="str">
        <f>HYPERLINK("https://www.list-org.com/company/13732626","https://www.list-org.com/company/13732626")</f>
        <v>https://www.list-org.com/company/13732626</v>
      </c>
      <c r="B201" s="3" t="s">
        <v>982</v>
      </c>
      <c r="C201" s="3" t="s">
        <v>983</v>
      </c>
      <c r="D201" s="3" t="s">
        <v>14</v>
      </c>
      <c r="E201" s="3" t="s">
        <v>984</v>
      </c>
      <c r="F201" s="3" t="s">
        <v>985</v>
      </c>
      <c r="G201" s="3"/>
      <c r="H201" s="3" t="s">
        <v>986</v>
      </c>
      <c r="I201" s="4"/>
      <c r="J201" s="4"/>
      <c r="K201" s="4"/>
      <c r="L201" s="4"/>
    </row>
    <row r="202" spans="1:12" x14ac:dyDescent="0.25">
      <c r="A202" s="2" t="str">
        <f>HYPERLINK("https://www.list-org.com/company/13732633","https://www.list-org.com/company/13732633")</f>
        <v>https://www.list-org.com/company/13732633</v>
      </c>
      <c r="B202" s="3" t="s">
        <v>987</v>
      </c>
      <c r="C202" s="3" t="s">
        <v>988</v>
      </c>
      <c r="D202" s="3" t="s">
        <v>14</v>
      </c>
      <c r="E202" s="3" t="s">
        <v>989</v>
      </c>
      <c r="F202" s="3" t="s">
        <v>990</v>
      </c>
      <c r="G202" s="3"/>
      <c r="H202" s="3" t="s">
        <v>991</v>
      </c>
      <c r="I202" s="4"/>
      <c r="J202" s="4"/>
      <c r="K202" s="4"/>
      <c r="L202" s="4"/>
    </row>
    <row r="203" spans="1:12" x14ac:dyDescent="0.25">
      <c r="A203" s="2" t="str">
        <f>HYPERLINK("https://www.list-org.com/company/13732637","https://www.list-org.com/company/13732637")</f>
        <v>https://www.list-org.com/company/13732637</v>
      </c>
      <c r="B203" s="3" t="s">
        <v>992</v>
      </c>
      <c r="C203" s="3" t="s">
        <v>993</v>
      </c>
      <c r="D203" s="3" t="s">
        <v>14</v>
      </c>
      <c r="E203" s="3" t="s">
        <v>994</v>
      </c>
      <c r="F203" s="3" t="s">
        <v>995</v>
      </c>
      <c r="G203" s="3"/>
      <c r="H203" s="3" t="s">
        <v>996</v>
      </c>
      <c r="I203" s="4"/>
      <c r="J203" s="4"/>
      <c r="K203" s="4"/>
      <c r="L203" s="4"/>
    </row>
    <row r="204" spans="1:12" x14ac:dyDescent="0.25">
      <c r="A204" s="2" t="str">
        <f>HYPERLINK("https://www.list-org.com/company/13732643","https://www.list-org.com/company/13732643")</f>
        <v>https://www.list-org.com/company/13732643</v>
      </c>
      <c r="B204" s="3" t="s">
        <v>997</v>
      </c>
      <c r="C204" s="3" t="s">
        <v>998</v>
      </c>
      <c r="D204" s="3" t="s">
        <v>14</v>
      </c>
      <c r="E204" s="3" t="s">
        <v>999</v>
      </c>
      <c r="F204" s="3" t="s">
        <v>1000</v>
      </c>
      <c r="G204" s="3"/>
      <c r="H204" s="3" t="s">
        <v>1001</v>
      </c>
      <c r="I204" s="4"/>
      <c r="J204" s="4"/>
      <c r="K204" s="4"/>
      <c r="L204" s="4"/>
    </row>
    <row r="205" spans="1:12" x14ac:dyDescent="0.25">
      <c r="A205" s="2" t="str">
        <f>HYPERLINK("https://www.list-org.com/company/13732644","https://www.list-org.com/company/13732644")</f>
        <v>https://www.list-org.com/company/13732644</v>
      </c>
      <c r="B205" s="3" t="s">
        <v>1002</v>
      </c>
      <c r="C205" s="3" t="s">
        <v>1003</v>
      </c>
      <c r="D205" s="3" t="s">
        <v>14</v>
      </c>
      <c r="E205" s="3" t="s">
        <v>1004</v>
      </c>
      <c r="F205" s="3" t="s">
        <v>1005</v>
      </c>
      <c r="G205" s="3"/>
      <c r="H205" s="3" t="s">
        <v>1006</v>
      </c>
      <c r="I205" s="4"/>
      <c r="J205" s="4"/>
      <c r="K205" s="4"/>
      <c r="L205" s="4"/>
    </row>
    <row r="206" spans="1:12" x14ac:dyDescent="0.25">
      <c r="A206" s="2" t="str">
        <f>HYPERLINK("https://www.list-org.com/company/13733379","https://www.list-org.com/company/13733379")</f>
        <v>https://www.list-org.com/company/13733379</v>
      </c>
      <c r="B206" s="3" t="s">
        <v>1007</v>
      </c>
      <c r="C206" s="3" t="s">
        <v>1008</v>
      </c>
      <c r="D206" s="3" t="s">
        <v>14</v>
      </c>
      <c r="E206" s="3" t="s">
        <v>1009</v>
      </c>
      <c r="F206" s="3" t="s">
        <v>1010</v>
      </c>
      <c r="G206" s="3"/>
      <c r="H206" s="3" t="s">
        <v>1011</v>
      </c>
      <c r="I206" s="4"/>
      <c r="J206" s="4"/>
      <c r="K206" s="4"/>
      <c r="L206" s="4"/>
    </row>
    <row r="207" spans="1:12" x14ac:dyDescent="0.25">
      <c r="A207" s="2" t="str">
        <f>HYPERLINK("https://www.list-org.com/company/13734192","https://www.list-org.com/company/13734192")</f>
        <v>https://www.list-org.com/company/13734192</v>
      </c>
      <c r="B207" s="3" t="s">
        <v>1012</v>
      </c>
      <c r="C207" s="3" t="s">
        <v>1013</v>
      </c>
      <c r="D207" s="3" t="s">
        <v>14</v>
      </c>
      <c r="E207" s="3" t="s">
        <v>1014</v>
      </c>
      <c r="F207" s="3" t="s">
        <v>1015</v>
      </c>
      <c r="G207" s="3"/>
      <c r="H207" s="3" t="s">
        <v>186</v>
      </c>
      <c r="I207" s="4"/>
      <c r="J207" s="4"/>
      <c r="K207" s="4"/>
      <c r="L207" s="4"/>
    </row>
    <row r="208" spans="1:12" x14ac:dyDescent="0.25">
      <c r="A208" s="2" t="str">
        <f>HYPERLINK("https://www.list-org.com/company/13735136","https://www.list-org.com/company/13735136")</f>
        <v>https://www.list-org.com/company/13735136</v>
      </c>
      <c r="B208" s="3" t="s">
        <v>1016</v>
      </c>
      <c r="C208" s="3" t="s">
        <v>1017</v>
      </c>
      <c r="D208" s="3" t="s">
        <v>14</v>
      </c>
      <c r="E208" s="3" t="s">
        <v>1018</v>
      </c>
      <c r="F208" s="3" t="s">
        <v>1019</v>
      </c>
      <c r="G208" s="3"/>
      <c r="H208" s="3" t="s">
        <v>1020</v>
      </c>
      <c r="I208" s="4"/>
      <c r="J208" s="4"/>
      <c r="K208" s="4"/>
      <c r="L208" s="4"/>
    </row>
    <row r="209" spans="1:12" x14ac:dyDescent="0.25">
      <c r="A209" s="2" t="str">
        <f>HYPERLINK("https://www.list-org.com/company/13735137","https://www.list-org.com/company/13735137")</f>
        <v>https://www.list-org.com/company/13735137</v>
      </c>
      <c r="B209" s="3" t="s">
        <v>1021</v>
      </c>
      <c r="C209" s="3" t="s">
        <v>1022</v>
      </c>
      <c r="D209" s="3" t="s">
        <v>14</v>
      </c>
      <c r="E209" s="3" t="s">
        <v>1023</v>
      </c>
      <c r="F209" s="3" t="s">
        <v>1024</v>
      </c>
      <c r="G209" s="3"/>
      <c r="H209" s="3" t="s">
        <v>1025</v>
      </c>
      <c r="I209" s="4"/>
      <c r="J209" s="4"/>
      <c r="K209" s="4"/>
      <c r="L209" s="4"/>
    </row>
    <row r="210" spans="1:12" x14ac:dyDescent="0.25">
      <c r="A210" s="2" t="str">
        <f>HYPERLINK("https://www.list-org.com/company/13735139","https://www.list-org.com/company/13735139")</f>
        <v>https://www.list-org.com/company/13735139</v>
      </c>
      <c r="B210" s="3" t="s">
        <v>1026</v>
      </c>
      <c r="C210" s="3" t="s">
        <v>1027</v>
      </c>
      <c r="D210" s="3" t="s">
        <v>14</v>
      </c>
      <c r="E210" s="3" t="s">
        <v>1028</v>
      </c>
      <c r="F210" s="3" t="s">
        <v>1029</v>
      </c>
      <c r="G210" s="3"/>
      <c r="H210" s="3" t="s">
        <v>1030</v>
      </c>
      <c r="I210" s="4"/>
      <c r="J210" s="4"/>
      <c r="K210" s="4"/>
      <c r="L210" s="4"/>
    </row>
    <row r="211" spans="1:12" x14ac:dyDescent="0.25">
      <c r="A211" s="2" t="str">
        <f>HYPERLINK("https://www.list-org.com/company/13735140","https://www.list-org.com/company/13735140")</f>
        <v>https://www.list-org.com/company/13735140</v>
      </c>
      <c r="B211" s="3" t="s">
        <v>1031</v>
      </c>
      <c r="C211" s="3" t="s">
        <v>1032</v>
      </c>
      <c r="D211" s="3" t="s">
        <v>14</v>
      </c>
      <c r="E211" s="3" t="s">
        <v>1033</v>
      </c>
      <c r="F211" s="3" t="s">
        <v>1034</v>
      </c>
      <c r="G211" s="3"/>
      <c r="H211" s="3" t="s">
        <v>1035</v>
      </c>
      <c r="I211" s="4"/>
      <c r="J211" s="4"/>
      <c r="K211" s="4"/>
      <c r="L211" s="4"/>
    </row>
    <row r="212" spans="1:12" x14ac:dyDescent="0.25">
      <c r="A212" s="2" t="str">
        <f>HYPERLINK("https://www.list-org.com/company/13735212","https://www.list-org.com/company/13735212")</f>
        <v>https://www.list-org.com/company/13735212</v>
      </c>
      <c r="B212" s="3" t="s">
        <v>1036</v>
      </c>
      <c r="C212" s="3" t="s">
        <v>1037</v>
      </c>
      <c r="D212" s="3" t="s">
        <v>14</v>
      </c>
      <c r="E212" s="3" t="s">
        <v>1038</v>
      </c>
      <c r="F212" s="3" t="s">
        <v>1039</v>
      </c>
      <c r="G212" s="3"/>
      <c r="H212" s="3" t="s">
        <v>1040</v>
      </c>
      <c r="I212" s="4"/>
      <c r="J212" s="4"/>
      <c r="K212" s="4"/>
      <c r="L212" s="4"/>
    </row>
    <row r="213" spans="1:12" x14ac:dyDescent="0.25">
      <c r="A213" s="2" t="str">
        <f>HYPERLINK("https://www.list-org.com/company/13735213","https://www.list-org.com/company/13735213")</f>
        <v>https://www.list-org.com/company/13735213</v>
      </c>
      <c r="B213" s="3" t="s">
        <v>1041</v>
      </c>
      <c r="C213" s="3" t="s">
        <v>1042</v>
      </c>
      <c r="D213" s="3" t="s">
        <v>14</v>
      </c>
      <c r="E213" s="3" t="s">
        <v>1043</v>
      </c>
      <c r="F213" s="3" t="s">
        <v>1044</v>
      </c>
      <c r="G213" s="3"/>
      <c r="H213" s="3" t="s">
        <v>1045</v>
      </c>
      <c r="I213" s="4"/>
      <c r="J213" s="4"/>
      <c r="K213" s="4"/>
      <c r="L213" s="4"/>
    </row>
    <row r="214" spans="1:12" x14ac:dyDescent="0.25">
      <c r="A214" s="2" t="str">
        <f>HYPERLINK("https://www.list-org.com/company/13735214","https://www.list-org.com/company/13735214")</f>
        <v>https://www.list-org.com/company/13735214</v>
      </c>
      <c r="B214" s="3" t="s">
        <v>1046</v>
      </c>
      <c r="C214" s="3" t="s">
        <v>1047</v>
      </c>
      <c r="D214" s="3" t="s">
        <v>14</v>
      </c>
      <c r="E214" s="3" t="s">
        <v>1048</v>
      </c>
      <c r="F214" s="3" t="s">
        <v>1049</v>
      </c>
      <c r="G214" s="3"/>
      <c r="H214" s="3" t="s">
        <v>1050</v>
      </c>
      <c r="I214" s="4"/>
      <c r="J214" s="4"/>
      <c r="K214" s="4"/>
      <c r="L214" s="4"/>
    </row>
    <row r="215" spans="1:12" x14ac:dyDescent="0.25">
      <c r="A215" s="2" t="str">
        <f>HYPERLINK("https://www.list-org.com/company/13735215","https://www.list-org.com/company/13735215")</f>
        <v>https://www.list-org.com/company/13735215</v>
      </c>
      <c r="B215" s="3" t="s">
        <v>1051</v>
      </c>
      <c r="C215" s="3" t="s">
        <v>1052</v>
      </c>
      <c r="D215" s="3" t="s">
        <v>14</v>
      </c>
      <c r="E215" s="3" t="s">
        <v>1053</v>
      </c>
      <c r="F215" s="3" t="s">
        <v>1054</v>
      </c>
      <c r="G215" s="3"/>
      <c r="H215" s="3" t="s">
        <v>1055</v>
      </c>
      <c r="I215" s="4"/>
      <c r="J215" s="4"/>
      <c r="K215" s="4"/>
      <c r="L215" s="4"/>
    </row>
    <row r="216" spans="1:12" x14ac:dyDescent="0.25">
      <c r="A216" s="2" t="str">
        <f>HYPERLINK("https://www.list-org.com/company/13735216","https://www.list-org.com/company/13735216")</f>
        <v>https://www.list-org.com/company/13735216</v>
      </c>
      <c r="B216" s="3" t="s">
        <v>1056</v>
      </c>
      <c r="C216" s="3" t="s">
        <v>1057</v>
      </c>
      <c r="D216" s="3" t="s">
        <v>14</v>
      </c>
      <c r="E216" s="3" t="s">
        <v>1058</v>
      </c>
      <c r="F216" s="3" t="s">
        <v>1059</v>
      </c>
      <c r="G216" s="3"/>
      <c r="H216" s="3" t="s">
        <v>1060</v>
      </c>
      <c r="I216" s="4"/>
      <c r="J216" s="4"/>
      <c r="K216" s="4"/>
      <c r="L216" s="4"/>
    </row>
    <row r="217" spans="1:12" x14ac:dyDescent="0.25">
      <c r="A217" s="2" t="str">
        <f>HYPERLINK("https://www.list-org.com/company/13735220","https://www.list-org.com/company/13735220")</f>
        <v>https://www.list-org.com/company/13735220</v>
      </c>
      <c r="B217" s="3" t="s">
        <v>1061</v>
      </c>
      <c r="C217" s="3" t="s">
        <v>1062</v>
      </c>
      <c r="D217" s="3" t="s">
        <v>14</v>
      </c>
      <c r="E217" s="3" t="s">
        <v>1063</v>
      </c>
      <c r="F217" s="3" t="s">
        <v>1064</v>
      </c>
      <c r="G217" s="3"/>
      <c r="H217" s="3" t="s">
        <v>1065</v>
      </c>
      <c r="I217" s="4"/>
      <c r="J217" s="4"/>
      <c r="K217" s="4"/>
      <c r="L217" s="4"/>
    </row>
    <row r="218" spans="1:12" x14ac:dyDescent="0.25">
      <c r="A218" s="2" t="str">
        <f>HYPERLINK("https://www.list-org.com/company/13735221","https://www.list-org.com/company/13735221")</f>
        <v>https://www.list-org.com/company/13735221</v>
      </c>
      <c r="B218" s="3" t="s">
        <v>1066</v>
      </c>
      <c r="C218" s="3" t="s">
        <v>1067</v>
      </c>
      <c r="D218" s="3" t="s">
        <v>14</v>
      </c>
      <c r="E218" s="3" t="s">
        <v>1068</v>
      </c>
      <c r="F218" s="3" t="s">
        <v>1069</v>
      </c>
      <c r="G218" s="3"/>
      <c r="H218" s="3" t="s">
        <v>539</v>
      </c>
      <c r="I218" s="4"/>
      <c r="J218" s="4"/>
      <c r="K218" s="4"/>
      <c r="L218" s="4"/>
    </row>
    <row r="219" spans="1:12" x14ac:dyDescent="0.25">
      <c r="A219" s="2" t="str">
        <f>HYPERLINK("https://www.list-org.com/company/13735222","https://www.list-org.com/company/13735222")</f>
        <v>https://www.list-org.com/company/13735222</v>
      </c>
      <c r="B219" s="3" t="s">
        <v>1070</v>
      </c>
      <c r="C219" s="3" t="s">
        <v>1071</v>
      </c>
      <c r="D219" s="3" t="s">
        <v>14</v>
      </c>
      <c r="E219" s="3" t="s">
        <v>1072</v>
      </c>
      <c r="F219" s="3" t="s">
        <v>1073</v>
      </c>
      <c r="G219" s="3"/>
      <c r="H219" s="3" t="s">
        <v>701</v>
      </c>
      <c r="I219" s="4"/>
      <c r="J219" s="4"/>
      <c r="K219" s="4">
        <v>-7565</v>
      </c>
      <c r="L219" s="4"/>
    </row>
    <row r="220" spans="1:12" x14ac:dyDescent="0.25">
      <c r="A220" s="2" t="str">
        <f>HYPERLINK("https://www.list-org.com/company/13735229","https://www.list-org.com/company/13735229")</f>
        <v>https://www.list-org.com/company/13735229</v>
      </c>
      <c r="B220" s="3" t="s">
        <v>1074</v>
      </c>
      <c r="C220" s="3" t="s">
        <v>1075</v>
      </c>
      <c r="D220" s="3" t="s">
        <v>14</v>
      </c>
      <c r="E220" s="3" t="s">
        <v>1076</v>
      </c>
      <c r="F220" s="3" t="s">
        <v>1077</v>
      </c>
      <c r="G220" s="3"/>
      <c r="H220" s="3" t="s">
        <v>1078</v>
      </c>
      <c r="I220" s="4"/>
      <c r="J220" s="4"/>
      <c r="K220" s="4"/>
      <c r="L220" s="4"/>
    </row>
    <row r="221" spans="1:12" x14ac:dyDescent="0.25">
      <c r="A221" s="2" t="str">
        <f>HYPERLINK("https://www.list-org.com/company/13735666","https://www.list-org.com/company/13735666")</f>
        <v>https://www.list-org.com/company/13735666</v>
      </c>
      <c r="B221" s="3" t="s">
        <v>1079</v>
      </c>
      <c r="C221" s="3" t="s">
        <v>1080</v>
      </c>
      <c r="D221" s="3" t="s">
        <v>14</v>
      </c>
      <c r="E221" s="3" t="s">
        <v>1081</v>
      </c>
      <c r="F221" s="3" t="s">
        <v>1082</v>
      </c>
      <c r="G221" s="3"/>
      <c r="H221" s="3" t="s">
        <v>1083</v>
      </c>
      <c r="I221" s="4"/>
      <c r="J221" s="4"/>
      <c r="K221" s="4"/>
      <c r="L221" s="4"/>
    </row>
    <row r="222" spans="1:12" x14ac:dyDescent="0.25">
      <c r="A222" s="2" t="str">
        <f>HYPERLINK("https://www.list-org.com/company/13735877","https://www.list-org.com/company/13735877")</f>
        <v>https://www.list-org.com/company/13735877</v>
      </c>
      <c r="B222" s="3" t="s">
        <v>1084</v>
      </c>
      <c r="C222" s="3" t="s">
        <v>1085</v>
      </c>
      <c r="D222" s="3" t="s">
        <v>14</v>
      </c>
      <c r="E222" s="3" t="s">
        <v>1086</v>
      </c>
      <c r="F222" s="3" t="s">
        <v>1087</v>
      </c>
      <c r="G222" s="3"/>
      <c r="H222" s="3" t="s">
        <v>1088</v>
      </c>
      <c r="I222" s="4"/>
      <c r="J222" s="4"/>
      <c r="K222" s="4"/>
      <c r="L222" s="4"/>
    </row>
    <row r="223" spans="1:12" x14ac:dyDescent="0.25">
      <c r="A223" s="2" t="str">
        <f>HYPERLINK("https://www.list-org.com/company/13736110","https://www.list-org.com/company/13736110")</f>
        <v>https://www.list-org.com/company/13736110</v>
      </c>
      <c r="B223" s="3" t="s">
        <v>1089</v>
      </c>
      <c r="C223" s="3" t="s">
        <v>1090</v>
      </c>
      <c r="D223" s="3" t="s">
        <v>14</v>
      </c>
      <c r="E223" s="3" t="s">
        <v>1091</v>
      </c>
      <c r="F223" s="3" t="s">
        <v>1092</v>
      </c>
      <c r="G223" s="3"/>
      <c r="H223" s="3" t="s">
        <v>1093</v>
      </c>
      <c r="I223" s="4"/>
      <c r="J223" s="4"/>
      <c r="K223" s="4"/>
      <c r="L223" s="4"/>
    </row>
    <row r="224" spans="1:12" x14ac:dyDescent="0.25">
      <c r="A224" s="2" t="str">
        <f>HYPERLINK("https://www.list-org.com/company/13736161","https://www.list-org.com/company/13736161")</f>
        <v>https://www.list-org.com/company/13736161</v>
      </c>
      <c r="B224" s="3" t="s">
        <v>1094</v>
      </c>
      <c r="C224" s="3" t="s">
        <v>1095</v>
      </c>
      <c r="D224" s="3" t="s">
        <v>14</v>
      </c>
      <c r="E224" s="3" t="s">
        <v>1096</v>
      </c>
      <c r="F224" s="3" t="s">
        <v>1097</v>
      </c>
      <c r="G224" s="3"/>
      <c r="H224" s="3" t="s">
        <v>1098</v>
      </c>
      <c r="I224" s="4"/>
      <c r="J224" s="4"/>
      <c r="K224" s="4"/>
      <c r="L224" s="4"/>
    </row>
    <row r="225" spans="1:12" x14ac:dyDescent="0.25">
      <c r="A225" s="2" t="str">
        <f>HYPERLINK("https://www.list-org.com/company/13736322","https://www.list-org.com/company/13736322")</f>
        <v>https://www.list-org.com/company/13736322</v>
      </c>
      <c r="B225" s="3" t="s">
        <v>1099</v>
      </c>
      <c r="C225" s="3" t="s">
        <v>1100</v>
      </c>
      <c r="D225" s="3" t="s">
        <v>14</v>
      </c>
      <c r="E225" s="3" t="s">
        <v>1101</v>
      </c>
      <c r="F225" s="3" t="s">
        <v>1102</v>
      </c>
      <c r="G225" s="3"/>
      <c r="H225" s="3" t="s">
        <v>1103</v>
      </c>
      <c r="I225" s="4"/>
      <c r="J225" s="4"/>
      <c r="K225" s="4"/>
      <c r="L225" s="4"/>
    </row>
    <row r="226" spans="1:12" x14ac:dyDescent="0.25">
      <c r="A226" s="2" t="str">
        <f>HYPERLINK("https://www.list-org.com/company/13736329","https://www.list-org.com/company/13736329")</f>
        <v>https://www.list-org.com/company/13736329</v>
      </c>
      <c r="B226" s="3" t="s">
        <v>1104</v>
      </c>
      <c r="C226" s="3" t="s">
        <v>1105</v>
      </c>
      <c r="D226" s="3" t="s">
        <v>14</v>
      </c>
      <c r="E226" s="3" t="s">
        <v>1106</v>
      </c>
      <c r="F226" s="3" t="s">
        <v>1107</v>
      </c>
      <c r="G226" s="3"/>
      <c r="H226" s="3" t="s">
        <v>1108</v>
      </c>
      <c r="I226" s="4"/>
      <c r="J226" s="4"/>
      <c r="K226" s="4"/>
      <c r="L226" s="4"/>
    </row>
    <row r="227" spans="1:12" x14ac:dyDescent="0.25">
      <c r="A227" s="2" t="str">
        <f>HYPERLINK("https://www.list-org.com/company/13736440","https://www.list-org.com/company/13736440")</f>
        <v>https://www.list-org.com/company/13736440</v>
      </c>
      <c r="B227" s="3" t="s">
        <v>1109</v>
      </c>
      <c r="C227" s="3" t="s">
        <v>1110</v>
      </c>
      <c r="D227" s="3" t="s">
        <v>14</v>
      </c>
      <c r="E227" s="3" t="s">
        <v>1111</v>
      </c>
      <c r="F227" s="3" t="s">
        <v>1112</v>
      </c>
      <c r="G227" s="3"/>
      <c r="H227" s="3" t="s">
        <v>1113</v>
      </c>
      <c r="I227" s="4"/>
      <c r="J227" s="4"/>
      <c r="K227" s="4"/>
      <c r="L227" s="4"/>
    </row>
    <row r="228" spans="1:12" x14ac:dyDescent="0.25">
      <c r="A228" s="2" t="str">
        <f>HYPERLINK("https://www.list-org.com/company/13736571","https://www.list-org.com/company/13736571")</f>
        <v>https://www.list-org.com/company/13736571</v>
      </c>
      <c r="B228" s="3" t="s">
        <v>1114</v>
      </c>
      <c r="C228" s="3" t="s">
        <v>1115</v>
      </c>
      <c r="D228" s="3" t="s">
        <v>14</v>
      </c>
      <c r="E228" s="3" t="s">
        <v>1116</v>
      </c>
      <c r="F228" s="3" t="s">
        <v>1117</v>
      </c>
      <c r="G228" s="3"/>
      <c r="H228" s="3" t="s">
        <v>1118</v>
      </c>
      <c r="I228" s="4">
        <v>5</v>
      </c>
      <c r="J228" s="4">
        <v>5659</v>
      </c>
      <c r="K228" s="4">
        <v>-1415</v>
      </c>
      <c r="L228" s="4">
        <v>-1403</v>
      </c>
    </row>
    <row r="229" spans="1:12" x14ac:dyDescent="0.25">
      <c r="A229" s="2" t="str">
        <f>HYPERLINK("https://www.list-org.com/company/13736580","https://www.list-org.com/company/13736580")</f>
        <v>https://www.list-org.com/company/13736580</v>
      </c>
      <c r="B229" s="3" t="s">
        <v>1119</v>
      </c>
      <c r="C229" s="3" t="s">
        <v>1120</v>
      </c>
      <c r="D229" s="3" t="s">
        <v>14</v>
      </c>
      <c r="E229" s="3" t="s">
        <v>1121</v>
      </c>
      <c r="F229" s="3" t="s">
        <v>1122</v>
      </c>
      <c r="G229" s="3"/>
      <c r="H229" s="3" t="s">
        <v>1123</v>
      </c>
      <c r="I229" s="4"/>
      <c r="J229" s="4"/>
      <c r="K229" s="4"/>
      <c r="L229" s="4"/>
    </row>
    <row r="230" spans="1:12" x14ac:dyDescent="0.25">
      <c r="A230" s="2" t="str">
        <f>HYPERLINK("https://www.list-org.com/company/13736651","https://www.list-org.com/company/13736651")</f>
        <v>https://www.list-org.com/company/13736651</v>
      </c>
      <c r="B230" s="3" t="s">
        <v>1124</v>
      </c>
      <c r="C230" s="3" t="s">
        <v>1125</v>
      </c>
      <c r="D230" s="3" t="s">
        <v>14</v>
      </c>
      <c r="E230" s="3" t="s">
        <v>1126</v>
      </c>
      <c r="F230" s="3" t="s">
        <v>1127</v>
      </c>
      <c r="G230" s="3"/>
      <c r="H230" s="3" t="s">
        <v>1128</v>
      </c>
      <c r="I230" s="4"/>
      <c r="J230" s="4"/>
      <c r="K230" s="4"/>
      <c r="L230" s="4"/>
    </row>
    <row r="231" spans="1:12" x14ac:dyDescent="0.25">
      <c r="A231" s="2" t="str">
        <f>HYPERLINK("https://www.list-org.com/company/13736662","https://www.list-org.com/company/13736662")</f>
        <v>https://www.list-org.com/company/13736662</v>
      </c>
      <c r="B231" s="3" t="s">
        <v>1129</v>
      </c>
      <c r="C231" s="3" t="s">
        <v>1130</v>
      </c>
      <c r="D231" s="3" t="s">
        <v>14</v>
      </c>
      <c r="E231" s="3" t="s">
        <v>1131</v>
      </c>
      <c r="F231" s="3" t="s">
        <v>1132</v>
      </c>
      <c r="G231" s="3"/>
      <c r="H231" s="3" t="s">
        <v>1133</v>
      </c>
      <c r="I231" s="4"/>
      <c r="J231" s="4"/>
      <c r="K231" s="4"/>
      <c r="L231" s="4"/>
    </row>
    <row r="232" spans="1:12" x14ac:dyDescent="0.25">
      <c r="A232" s="2" t="str">
        <f>HYPERLINK("https://www.list-org.com/company/13736707","https://www.list-org.com/company/13736707")</f>
        <v>https://www.list-org.com/company/13736707</v>
      </c>
      <c r="B232" s="3" t="s">
        <v>1134</v>
      </c>
      <c r="C232" s="3" t="s">
        <v>1135</v>
      </c>
      <c r="D232" s="3" t="s">
        <v>14</v>
      </c>
      <c r="E232" s="3" t="s">
        <v>1136</v>
      </c>
      <c r="F232" s="3" t="s">
        <v>1137</v>
      </c>
      <c r="G232" s="3"/>
      <c r="H232" s="3" t="s">
        <v>1138</v>
      </c>
      <c r="I232" s="4"/>
      <c r="J232" s="4"/>
      <c r="K232" s="4"/>
      <c r="L232" s="4"/>
    </row>
    <row r="233" spans="1:12" x14ac:dyDescent="0.25">
      <c r="A233" s="2" t="str">
        <f>HYPERLINK("https://www.list-org.com/company/13736742","https://www.list-org.com/company/13736742")</f>
        <v>https://www.list-org.com/company/13736742</v>
      </c>
      <c r="B233" s="3" t="s">
        <v>1139</v>
      </c>
      <c r="C233" s="3" t="s">
        <v>1140</v>
      </c>
      <c r="D233" s="3" t="s">
        <v>14</v>
      </c>
      <c r="E233" s="3" t="s">
        <v>1141</v>
      </c>
      <c r="F233" s="3" t="s">
        <v>1142</v>
      </c>
      <c r="G233" s="3"/>
      <c r="H233" s="3" t="s">
        <v>1143</v>
      </c>
      <c r="I233" s="4"/>
      <c r="J233" s="4"/>
      <c r="K233" s="4"/>
      <c r="L233" s="4"/>
    </row>
    <row r="234" spans="1:12" x14ac:dyDescent="0.25">
      <c r="A234" s="2" t="str">
        <f>HYPERLINK("https://www.list-org.com/company/13736883","https://www.list-org.com/company/13736883")</f>
        <v>https://www.list-org.com/company/13736883</v>
      </c>
      <c r="B234" s="3" t="s">
        <v>1144</v>
      </c>
      <c r="C234" s="3" t="s">
        <v>1145</v>
      </c>
      <c r="D234" s="3" t="s">
        <v>14</v>
      </c>
      <c r="E234" s="3" t="s">
        <v>1146</v>
      </c>
      <c r="F234" s="3" t="s">
        <v>1147</v>
      </c>
      <c r="G234" s="3"/>
      <c r="H234" s="3" t="s">
        <v>1148</v>
      </c>
      <c r="I234" s="4"/>
      <c r="J234" s="4"/>
      <c r="K234" s="4"/>
      <c r="L234" s="4"/>
    </row>
    <row r="235" spans="1:12" x14ac:dyDescent="0.25">
      <c r="A235" s="2" t="str">
        <f>HYPERLINK("https://www.list-org.com/company/13736931","https://www.list-org.com/company/13736931")</f>
        <v>https://www.list-org.com/company/13736931</v>
      </c>
      <c r="B235" s="3" t="s">
        <v>1149</v>
      </c>
      <c r="C235" s="3" t="s">
        <v>1150</v>
      </c>
      <c r="D235" s="3" t="s">
        <v>14</v>
      </c>
      <c r="E235" s="3" t="s">
        <v>1151</v>
      </c>
      <c r="F235" s="3" t="s">
        <v>1152</v>
      </c>
      <c r="G235" s="3"/>
      <c r="H235" s="3" t="s">
        <v>1153</v>
      </c>
      <c r="I235" s="4"/>
      <c r="J235" s="4"/>
      <c r="K235" s="4"/>
      <c r="L235" s="4"/>
    </row>
    <row r="236" spans="1:12" x14ac:dyDescent="0.25">
      <c r="A236" s="2" t="str">
        <f>HYPERLINK("https://www.list-org.com/company/13736932","https://www.list-org.com/company/13736932")</f>
        <v>https://www.list-org.com/company/13736932</v>
      </c>
      <c r="B236" s="3" t="s">
        <v>1154</v>
      </c>
      <c r="C236" s="3" t="s">
        <v>1155</v>
      </c>
      <c r="D236" s="3" t="s">
        <v>14</v>
      </c>
      <c r="E236" s="3" t="s">
        <v>1156</v>
      </c>
      <c r="F236" s="3" t="s">
        <v>1157</v>
      </c>
      <c r="G236" s="3"/>
      <c r="H236" s="3" t="s">
        <v>1158</v>
      </c>
      <c r="I236" s="4"/>
      <c r="J236" s="4"/>
      <c r="K236" s="4"/>
      <c r="L236" s="4"/>
    </row>
    <row r="237" spans="1:12" x14ac:dyDescent="0.25">
      <c r="A237" s="2" t="str">
        <f>HYPERLINK("https://www.list-org.com/company/13736935","https://www.list-org.com/company/13736935")</f>
        <v>https://www.list-org.com/company/13736935</v>
      </c>
      <c r="B237" s="3" t="s">
        <v>1159</v>
      </c>
      <c r="C237" s="3" t="s">
        <v>1160</v>
      </c>
      <c r="D237" s="3" t="s">
        <v>14</v>
      </c>
      <c r="E237" s="3" t="s">
        <v>1161</v>
      </c>
      <c r="F237" s="3" t="s">
        <v>1162</v>
      </c>
      <c r="G237" s="3"/>
      <c r="H237" s="3" t="s">
        <v>1163</v>
      </c>
      <c r="I237" s="4">
        <v>1</v>
      </c>
      <c r="J237" s="4">
        <v>1149</v>
      </c>
      <c r="K237" s="4">
        <v>-584</v>
      </c>
      <c r="L237" s="4">
        <v>9529</v>
      </c>
    </row>
    <row r="238" spans="1:12" x14ac:dyDescent="0.25">
      <c r="A238" s="2" t="str">
        <f>HYPERLINK("https://www.list-org.com/company/13736936","https://www.list-org.com/company/13736936")</f>
        <v>https://www.list-org.com/company/13736936</v>
      </c>
      <c r="B238" s="3" t="s">
        <v>1164</v>
      </c>
      <c r="C238" s="3" t="s">
        <v>1165</v>
      </c>
      <c r="D238" s="3" t="s">
        <v>14</v>
      </c>
      <c r="E238" s="3" t="s">
        <v>1166</v>
      </c>
      <c r="F238" s="3" t="s">
        <v>1167</v>
      </c>
      <c r="G238" s="3"/>
      <c r="H238" s="3" t="s">
        <v>1168</v>
      </c>
      <c r="I238" s="4"/>
      <c r="J238" s="4"/>
      <c r="K238" s="4"/>
      <c r="L238" s="4"/>
    </row>
    <row r="239" spans="1:12" x14ac:dyDescent="0.25">
      <c r="A239" s="2" t="str">
        <f>HYPERLINK("https://www.list-org.com/company/13736938","https://www.list-org.com/company/13736938")</f>
        <v>https://www.list-org.com/company/13736938</v>
      </c>
      <c r="B239" s="3" t="s">
        <v>1169</v>
      </c>
      <c r="C239" s="3" t="s">
        <v>1170</v>
      </c>
      <c r="D239" s="3" t="s">
        <v>14</v>
      </c>
      <c r="E239" s="3" t="s">
        <v>1171</v>
      </c>
      <c r="F239" s="3" t="s">
        <v>1172</v>
      </c>
      <c r="G239" s="3"/>
      <c r="H239" s="3" t="s">
        <v>1173</v>
      </c>
      <c r="I239" s="4"/>
      <c r="J239" s="4"/>
      <c r="K239" s="4"/>
      <c r="L239" s="4"/>
    </row>
    <row r="240" spans="1:12" x14ac:dyDescent="0.25">
      <c r="A240" s="2" t="str">
        <f>HYPERLINK("https://www.list-org.com/company/13736940","https://www.list-org.com/company/13736940")</f>
        <v>https://www.list-org.com/company/13736940</v>
      </c>
      <c r="B240" s="3" t="s">
        <v>1174</v>
      </c>
      <c r="C240" s="3" t="s">
        <v>1175</v>
      </c>
      <c r="D240" s="3" t="s">
        <v>14</v>
      </c>
      <c r="E240" s="3" t="s">
        <v>1176</v>
      </c>
      <c r="F240" s="3" t="s">
        <v>1177</v>
      </c>
      <c r="G240" s="3"/>
      <c r="H240" s="3" t="s">
        <v>1178</v>
      </c>
      <c r="I240" s="4"/>
      <c r="J240" s="4"/>
      <c r="K240" s="4"/>
      <c r="L240" s="4"/>
    </row>
    <row r="241" spans="1:12" x14ac:dyDescent="0.25">
      <c r="A241" s="2" t="str">
        <f>HYPERLINK("https://www.list-org.com/company/13736941","https://www.list-org.com/company/13736941")</f>
        <v>https://www.list-org.com/company/13736941</v>
      </c>
      <c r="B241" s="3" t="s">
        <v>1179</v>
      </c>
      <c r="C241" s="3" t="s">
        <v>1180</v>
      </c>
      <c r="D241" s="3" t="s">
        <v>14</v>
      </c>
      <c r="E241" s="3" t="s">
        <v>1181</v>
      </c>
      <c r="F241" s="3" t="s">
        <v>1182</v>
      </c>
      <c r="G241" s="3"/>
      <c r="H241" s="3" t="s">
        <v>1183</v>
      </c>
      <c r="I241" s="4"/>
      <c r="J241" s="4"/>
      <c r="K241" s="4"/>
      <c r="L241" s="4"/>
    </row>
    <row r="242" spans="1:12" x14ac:dyDescent="0.25">
      <c r="A242" s="2" t="str">
        <f>HYPERLINK("https://www.list-org.com/company/13736942","https://www.list-org.com/company/13736942")</f>
        <v>https://www.list-org.com/company/13736942</v>
      </c>
      <c r="B242" s="3" t="s">
        <v>1184</v>
      </c>
      <c r="C242" s="3" t="s">
        <v>1185</v>
      </c>
      <c r="D242" s="3" t="s">
        <v>14</v>
      </c>
      <c r="E242" s="3" t="s">
        <v>1186</v>
      </c>
      <c r="F242" s="3" t="s">
        <v>1187</v>
      </c>
      <c r="G242" s="3"/>
      <c r="H242" s="3" t="s">
        <v>1188</v>
      </c>
      <c r="I242" s="4"/>
      <c r="J242" s="4"/>
      <c r="K242" s="4"/>
      <c r="L242" s="4"/>
    </row>
    <row r="243" spans="1:12" x14ac:dyDescent="0.25">
      <c r="A243" s="2" t="str">
        <f>HYPERLINK("https://www.list-org.com/company/13736943","https://www.list-org.com/company/13736943")</f>
        <v>https://www.list-org.com/company/13736943</v>
      </c>
      <c r="B243" s="3" t="s">
        <v>1189</v>
      </c>
      <c r="C243" s="3" t="s">
        <v>1190</v>
      </c>
      <c r="D243" s="3" t="s">
        <v>14</v>
      </c>
      <c r="E243" s="3" t="s">
        <v>1191</v>
      </c>
      <c r="F243" s="3" t="s">
        <v>1192</v>
      </c>
      <c r="G243" s="3"/>
      <c r="H243" s="3" t="s">
        <v>1193</v>
      </c>
      <c r="I243" s="4"/>
      <c r="J243" s="4"/>
      <c r="K243" s="4"/>
      <c r="L243" s="4"/>
    </row>
    <row r="244" spans="1:12" x14ac:dyDescent="0.25">
      <c r="A244" s="2" t="str">
        <f>HYPERLINK("https://www.list-org.com/company/13736944","https://www.list-org.com/company/13736944")</f>
        <v>https://www.list-org.com/company/13736944</v>
      </c>
      <c r="B244" s="3" t="s">
        <v>1194</v>
      </c>
      <c r="C244" s="3" t="s">
        <v>1195</v>
      </c>
      <c r="D244" s="3" t="s">
        <v>14</v>
      </c>
      <c r="E244" s="3" t="s">
        <v>1196</v>
      </c>
      <c r="F244" s="3" t="s">
        <v>1197</v>
      </c>
      <c r="G244" s="3"/>
      <c r="H244" s="3" t="s">
        <v>1198</v>
      </c>
      <c r="I244" s="4"/>
      <c r="J244" s="4"/>
      <c r="K244" s="4"/>
      <c r="L244" s="4"/>
    </row>
    <row r="245" spans="1:12" x14ac:dyDescent="0.25">
      <c r="A245" s="2" t="str">
        <f>HYPERLINK("https://www.list-org.com/company/13736945","https://www.list-org.com/company/13736945")</f>
        <v>https://www.list-org.com/company/13736945</v>
      </c>
      <c r="B245" s="3" t="s">
        <v>1199</v>
      </c>
      <c r="C245" s="3" t="s">
        <v>1200</v>
      </c>
      <c r="D245" s="3" t="s">
        <v>14</v>
      </c>
      <c r="E245" s="3" t="s">
        <v>1201</v>
      </c>
      <c r="F245" s="3" t="s">
        <v>1202</v>
      </c>
      <c r="G245" s="3"/>
      <c r="H245" s="3" t="s">
        <v>627</v>
      </c>
      <c r="I245" s="4"/>
      <c r="J245" s="4"/>
      <c r="K245" s="4"/>
      <c r="L245" s="4"/>
    </row>
    <row r="246" spans="1:12" x14ac:dyDescent="0.25">
      <c r="A246" s="2" t="str">
        <f>HYPERLINK("https://www.list-org.com/company/13736946","https://www.list-org.com/company/13736946")</f>
        <v>https://www.list-org.com/company/13736946</v>
      </c>
      <c r="B246" s="3" t="s">
        <v>1203</v>
      </c>
      <c r="C246" s="3" t="s">
        <v>1204</v>
      </c>
      <c r="D246" s="3" t="s">
        <v>14</v>
      </c>
      <c r="E246" s="3" t="s">
        <v>1205</v>
      </c>
      <c r="F246" s="3" t="s">
        <v>1206</v>
      </c>
      <c r="G246" s="3"/>
      <c r="H246" s="3" t="s">
        <v>1207</v>
      </c>
      <c r="I246" s="4">
        <v>1</v>
      </c>
      <c r="J246" s="4">
        <v>8672</v>
      </c>
      <c r="K246" s="4">
        <v>-1368</v>
      </c>
      <c r="L246" s="4">
        <v>33119</v>
      </c>
    </row>
    <row r="247" spans="1:12" x14ac:dyDescent="0.25">
      <c r="A247" s="2" t="str">
        <f>HYPERLINK("https://www.list-org.com/company/13736947","https://www.list-org.com/company/13736947")</f>
        <v>https://www.list-org.com/company/13736947</v>
      </c>
      <c r="B247" s="3" t="s">
        <v>1208</v>
      </c>
      <c r="C247" s="3" t="s">
        <v>1209</v>
      </c>
      <c r="D247" s="3" t="s">
        <v>14</v>
      </c>
      <c r="E247" s="3" t="s">
        <v>1210</v>
      </c>
      <c r="F247" s="3" t="s">
        <v>1211</v>
      </c>
      <c r="G247" s="3"/>
      <c r="H247" s="3" t="s">
        <v>1212</v>
      </c>
      <c r="I247" s="4"/>
      <c r="J247" s="4"/>
      <c r="K247" s="4"/>
      <c r="L247" s="4"/>
    </row>
    <row r="248" spans="1:12" x14ac:dyDescent="0.25">
      <c r="A248" s="2" t="str">
        <f>HYPERLINK("https://www.list-org.com/company/13736949","https://www.list-org.com/company/13736949")</f>
        <v>https://www.list-org.com/company/13736949</v>
      </c>
      <c r="B248" s="3" t="s">
        <v>1213</v>
      </c>
      <c r="C248" s="3" t="s">
        <v>1214</v>
      </c>
      <c r="D248" s="3" t="s">
        <v>14</v>
      </c>
      <c r="E248" s="3" t="s">
        <v>1215</v>
      </c>
      <c r="F248" s="3" t="s">
        <v>1216</v>
      </c>
      <c r="G248" s="3"/>
      <c r="H248" s="3" t="s">
        <v>1193</v>
      </c>
      <c r="I248" s="4"/>
      <c r="J248" s="4"/>
      <c r="K248" s="4"/>
      <c r="L248" s="4"/>
    </row>
    <row r="249" spans="1:12" x14ac:dyDescent="0.25">
      <c r="A249" s="2" t="str">
        <f>HYPERLINK("https://www.list-org.com/company/13736950","https://www.list-org.com/company/13736950")</f>
        <v>https://www.list-org.com/company/13736950</v>
      </c>
      <c r="B249" s="3" t="s">
        <v>1217</v>
      </c>
      <c r="C249" s="3" t="s">
        <v>1218</v>
      </c>
      <c r="D249" s="3" t="s">
        <v>14</v>
      </c>
      <c r="E249" s="3" t="s">
        <v>1219</v>
      </c>
      <c r="F249" s="3" t="s">
        <v>1220</v>
      </c>
      <c r="G249" s="3"/>
      <c r="H249" s="3" t="s">
        <v>1221</v>
      </c>
      <c r="I249" s="4"/>
      <c r="J249" s="4"/>
      <c r="K249" s="4"/>
      <c r="L249" s="4"/>
    </row>
    <row r="250" spans="1:12" x14ac:dyDescent="0.25">
      <c r="A250" s="2" t="str">
        <f>HYPERLINK("https://www.list-org.com/company/13736952","https://www.list-org.com/company/13736952")</f>
        <v>https://www.list-org.com/company/13736952</v>
      </c>
      <c r="B250" s="3" t="s">
        <v>1222</v>
      </c>
      <c r="C250" s="3" t="s">
        <v>1223</v>
      </c>
      <c r="D250" s="3" t="s">
        <v>14</v>
      </c>
      <c r="E250" s="3" t="s">
        <v>1224</v>
      </c>
      <c r="F250" s="3" t="s">
        <v>1225</v>
      </c>
      <c r="G250" s="3"/>
      <c r="H250" s="3" t="s">
        <v>1226</v>
      </c>
      <c r="I250" s="4"/>
      <c r="J250" s="4"/>
      <c r="K250" s="4"/>
      <c r="L250" s="4"/>
    </row>
    <row r="251" spans="1:12" x14ac:dyDescent="0.25">
      <c r="A251" s="2" t="str">
        <f>HYPERLINK("https://www.list-org.com/company/13736954","https://www.list-org.com/company/13736954")</f>
        <v>https://www.list-org.com/company/13736954</v>
      </c>
      <c r="B251" s="3" t="s">
        <v>1227</v>
      </c>
      <c r="C251" s="3" t="s">
        <v>1228</v>
      </c>
      <c r="D251" s="3" t="s">
        <v>14</v>
      </c>
      <c r="E251" s="3" t="s">
        <v>1229</v>
      </c>
      <c r="F251" s="3" t="s">
        <v>1230</v>
      </c>
      <c r="G251" s="3"/>
      <c r="H251" s="3" t="s">
        <v>1231</v>
      </c>
      <c r="I251" s="4"/>
      <c r="J251" s="4"/>
      <c r="K251" s="4"/>
      <c r="L251" s="4"/>
    </row>
    <row r="252" spans="1:12" x14ac:dyDescent="0.25">
      <c r="A252" s="2" t="str">
        <f>HYPERLINK("https://www.list-org.com/company/13736955","https://www.list-org.com/company/13736955")</f>
        <v>https://www.list-org.com/company/13736955</v>
      </c>
      <c r="B252" s="3" t="s">
        <v>1232</v>
      </c>
      <c r="C252" s="3" t="s">
        <v>1233</v>
      </c>
      <c r="D252" s="3" t="s">
        <v>14</v>
      </c>
      <c r="E252" s="3" t="s">
        <v>1234</v>
      </c>
      <c r="F252" s="3" t="s">
        <v>1235</v>
      </c>
      <c r="G252" s="3"/>
      <c r="H252" s="3" t="s">
        <v>1236</v>
      </c>
      <c r="I252" s="4"/>
      <c r="J252" s="4"/>
      <c r="K252" s="4"/>
      <c r="L252" s="4"/>
    </row>
    <row r="253" spans="1:12" x14ac:dyDescent="0.25">
      <c r="A253" s="2" t="str">
        <f>HYPERLINK("https://www.list-org.com/company/13736994","https://www.list-org.com/company/13736994")</f>
        <v>https://www.list-org.com/company/13736994</v>
      </c>
      <c r="B253" s="3" t="s">
        <v>1237</v>
      </c>
      <c r="C253" s="3" t="s">
        <v>1238</v>
      </c>
      <c r="D253" s="3" t="s">
        <v>14</v>
      </c>
      <c r="E253" s="3" t="s">
        <v>1239</v>
      </c>
      <c r="F253" s="3" t="s">
        <v>1240</v>
      </c>
      <c r="G253" s="3"/>
      <c r="H253" s="3" t="s">
        <v>1241</v>
      </c>
      <c r="I253" s="4"/>
      <c r="J253" s="4"/>
      <c r="K253" s="4"/>
      <c r="L253" s="4"/>
    </row>
    <row r="254" spans="1:12" x14ac:dyDescent="0.25">
      <c r="A254" s="2" t="str">
        <f>HYPERLINK("https://www.list-org.com/company/13737011","https://www.list-org.com/company/13737011")</f>
        <v>https://www.list-org.com/company/13737011</v>
      </c>
      <c r="B254" s="3" t="s">
        <v>1242</v>
      </c>
      <c r="C254" s="3" t="s">
        <v>1243</v>
      </c>
      <c r="D254" s="3" t="s">
        <v>14</v>
      </c>
      <c r="E254" s="3" t="s">
        <v>1244</v>
      </c>
      <c r="F254" s="3" t="s">
        <v>1245</v>
      </c>
      <c r="G254" s="3"/>
      <c r="H254" s="3" t="s">
        <v>1246</v>
      </c>
      <c r="I254" s="4"/>
      <c r="J254" s="4"/>
      <c r="K254" s="4"/>
      <c r="L254" s="4"/>
    </row>
    <row r="255" spans="1:12" x14ac:dyDescent="0.25">
      <c r="A255" s="2" t="str">
        <f>HYPERLINK("https://www.list-org.com/company/13737098","https://www.list-org.com/company/13737098")</f>
        <v>https://www.list-org.com/company/13737098</v>
      </c>
      <c r="B255" s="3" t="s">
        <v>1247</v>
      </c>
      <c r="C255" s="3" t="s">
        <v>1248</v>
      </c>
      <c r="D255" s="3" t="s">
        <v>14</v>
      </c>
      <c r="E255" s="3" t="s">
        <v>1249</v>
      </c>
      <c r="F255" s="3" t="s">
        <v>1250</v>
      </c>
      <c r="G255" s="3"/>
      <c r="H255" s="3" t="s">
        <v>1251</v>
      </c>
      <c r="I255" s="4"/>
      <c r="J255" s="4"/>
      <c r="K255" s="4"/>
      <c r="L255" s="4"/>
    </row>
    <row r="256" spans="1:12" x14ac:dyDescent="0.25">
      <c r="A256" s="2" t="str">
        <f>HYPERLINK("https://www.list-org.com/company/13737195","https://www.list-org.com/company/13737195")</f>
        <v>https://www.list-org.com/company/13737195</v>
      </c>
      <c r="B256" s="3" t="s">
        <v>1252</v>
      </c>
      <c r="C256" s="3" t="s">
        <v>1253</v>
      </c>
      <c r="D256" s="3" t="s">
        <v>14</v>
      </c>
      <c r="E256" s="3" t="s">
        <v>1254</v>
      </c>
      <c r="F256" s="3" t="s">
        <v>1255</v>
      </c>
      <c r="G256" s="3"/>
      <c r="H256" s="3" t="s">
        <v>1256</v>
      </c>
      <c r="I256" s="4"/>
      <c r="J256" s="4"/>
      <c r="K256" s="4"/>
      <c r="L256" s="4"/>
    </row>
    <row r="257" spans="1:12" x14ac:dyDescent="0.25">
      <c r="A257" s="2" t="str">
        <f>HYPERLINK("https://www.list-org.com/company/13737270","https://www.list-org.com/company/13737270")</f>
        <v>https://www.list-org.com/company/13737270</v>
      </c>
      <c r="B257" s="3" t="s">
        <v>1257</v>
      </c>
      <c r="C257" s="3" t="s">
        <v>1258</v>
      </c>
      <c r="D257" s="3" t="s">
        <v>14</v>
      </c>
      <c r="E257" s="3" t="s">
        <v>1259</v>
      </c>
      <c r="F257" s="3" t="s">
        <v>1260</v>
      </c>
      <c r="G257" s="3"/>
      <c r="H257" s="3" t="s">
        <v>1261</v>
      </c>
      <c r="I257" s="4"/>
      <c r="J257" s="4"/>
      <c r="K257" s="4"/>
      <c r="L257" s="4"/>
    </row>
    <row r="258" spans="1:12" x14ac:dyDescent="0.25">
      <c r="A258" s="2" t="str">
        <f>HYPERLINK("https://www.list-org.com/company/13737436","https://www.list-org.com/company/13737436")</f>
        <v>https://www.list-org.com/company/13737436</v>
      </c>
      <c r="B258" s="3" t="s">
        <v>1262</v>
      </c>
      <c r="C258" s="3" t="s">
        <v>1263</v>
      </c>
      <c r="D258" s="3" t="s">
        <v>14</v>
      </c>
      <c r="E258" s="3" t="s">
        <v>1264</v>
      </c>
      <c r="F258" s="3" t="s">
        <v>1265</v>
      </c>
      <c r="G258" s="3"/>
      <c r="H258" s="3" t="s">
        <v>1266</v>
      </c>
      <c r="I258" s="4"/>
      <c r="J258" s="4"/>
      <c r="K258" s="4"/>
      <c r="L258" s="4"/>
    </row>
    <row r="259" spans="1:12" x14ac:dyDescent="0.25">
      <c r="A259" s="2" t="str">
        <f>HYPERLINK("https://www.list-org.com/company/13737468","https://www.list-org.com/company/13737468")</f>
        <v>https://www.list-org.com/company/13737468</v>
      </c>
      <c r="B259" s="3" t="s">
        <v>1267</v>
      </c>
      <c r="C259" s="3" t="s">
        <v>1268</v>
      </c>
      <c r="D259" s="3" t="s">
        <v>14</v>
      </c>
      <c r="E259" s="3" t="s">
        <v>1269</v>
      </c>
      <c r="F259" s="3" t="s">
        <v>1270</v>
      </c>
      <c r="G259" s="3"/>
      <c r="H259" s="3" t="s">
        <v>1271</v>
      </c>
      <c r="I259" s="4"/>
      <c r="J259" s="4"/>
      <c r="K259" s="4"/>
      <c r="L259" s="4"/>
    </row>
    <row r="260" spans="1:12" x14ac:dyDescent="0.25">
      <c r="A260" s="2" t="str">
        <f>HYPERLINK("https://www.list-org.com/company/13737510","https://www.list-org.com/company/13737510")</f>
        <v>https://www.list-org.com/company/13737510</v>
      </c>
      <c r="B260" s="3" t="s">
        <v>1272</v>
      </c>
      <c r="C260" s="3" t="s">
        <v>1273</v>
      </c>
      <c r="D260" s="3" t="s">
        <v>14</v>
      </c>
      <c r="E260" s="3" t="s">
        <v>1274</v>
      </c>
      <c r="F260" s="3" t="s">
        <v>1275</v>
      </c>
      <c r="G260" s="3"/>
      <c r="H260" s="3" t="s">
        <v>56</v>
      </c>
      <c r="I260" s="4">
        <v>7</v>
      </c>
      <c r="J260" s="4">
        <v>2620</v>
      </c>
      <c r="K260" s="4">
        <v>-7203</v>
      </c>
      <c r="L260" s="4">
        <v>1455</v>
      </c>
    </row>
    <row r="261" spans="1:12" x14ac:dyDescent="0.25">
      <c r="A261" s="2" t="str">
        <f>HYPERLINK("https://www.list-org.com/company/13737614","https://www.list-org.com/company/13737614")</f>
        <v>https://www.list-org.com/company/13737614</v>
      </c>
      <c r="B261" s="3" t="s">
        <v>1276</v>
      </c>
      <c r="C261" s="3" t="s">
        <v>1277</v>
      </c>
      <c r="D261" s="3" t="s">
        <v>14</v>
      </c>
      <c r="E261" s="3" t="s">
        <v>1278</v>
      </c>
      <c r="F261" s="3" t="s">
        <v>1279</v>
      </c>
      <c r="G261" s="3"/>
      <c r="H261" s="3" t="s">
        <v>1280</v>
      </c>
      <c r="I261" s="4"/>
      <c r="J261" s="4"/>
      <c r="K261" s="4"/>
      <c r="L261" s="4"/>
    </row>
    <row r="262" spans="1:12" x14ac:dyDescent="0.25">
      <c r="A262" s="2" t="str">
        <f>HYPERLINK("https://www.list-org.com/company/13737615","https://www.list-org.com/company/13737615")</f>
        <v>https://www.list-org.com/company/13737615</v>
      </c>
      <c r="B262" s="3" t="s">
        <v>1281</v>
      </c>
      <c r="C262" s="3" t="s">
        <v>1282</v>
      </c>
      <c r="D262" s="3" t="s">
        <v>14</v>
      </c>
      <c r="E262" s="3" t="s">
        <v>1283</v>
      </c>
      <c r="F262" s="3" t="s">
        <v>1284</v>
      </c>
      <c r="G262" s="3"/>
      <c r="H262" s="3" t="s">
        <v>1280</v>
      </c>
      <c r="I262" s="4"/>
      <c r="J262" s="4"/>
      <c r="K262" s="4"/>
      <c r="L262" s="4"/>
    </row>
    <row r="263" spans="1:12" x14ac:dyDescent="0.25">
      <c r="A263" s="2" t="str">
        <f>HYPERLINK("https://www.list-org.com/company/13737635","https://www.list-org.com/company/13737635")</f>
        <v>https://www.list-org.com/company/13737635</v>
      </c>
      <c r="B263" s="3" t="s">
        <v>1285</v>
      </c>
      <c r="C263" s="3" t="s">
        <v>1286</v>
      </c>
      <c r="D263" s="3" t="s">
        <v>14</v>
      </c>
      <c r="E263" s="3" t="s">
        <v>1287</v>
      </c>
      <c r="F263" s="3" t="s">
        <v>1288</v>
      </c>
      <c r="G263" s="3"/>
      <c r="H263" s="3" t="s">
        <v>1289</v>
      </c>
      <c r="I263" s="4"/>
      <c r="J263" s="4"/>
      <c r="K263" s="4"/>
      <c r="L263" s="4"/>
    </row>
    <row r="264" spans="1:12" x14ac:dyDescent="0.25">
      <c r="A264" s="2" t="str">
        <f>HYPERLINK("https://www.list-org.com/company/13737676","https://www.list-org.com/company/13737676")</f>
        <v>https://www.list-org.com/company/13737676</v>
      </c>
      <c r="B264" s="3" t="s">
        <v>1290</v>
      </c>
      <c r="C264" s="3" t="s">
        <v>1291</v>
      </c>
      <c r="D264" s="3" t="s">
        <v>14</v>
      </c>
      <c r="E264" s="3" t="s">
        <v>1292</v>
      </c>
      <c r="F264" s="3" t="s">
        <v>1293</v>
      </c>
      <c r="G264" s="3"/>
      <c r="H264" s="3" t="s">
        <v>1294</v>
      </c>
      <c r="I264" s="4"/>
      <c r="J264" s="4"/>
      <c r="K264" s="4"/>
      <c r="L264" s="4"/>
    </row>
    <row r="265" spans="1:12" x14ac:dyDescent="0.25">
      <c r="A265" s="2" t="str">
        <f>HYPERLINK("https://www.list-org.com/company/13737753","https://www.list-org.com/company/13737753")</f>
        <v>https://www.list-org.com/company/13737753</v>
      </c>
      <c r="B265" s="3" t="s">
        <v>1295</v>
      </c>
      <c r="C265" s="3" t="s">
        <v>1296</v>
      </c>
      <c r="D265" s="3" t="s">
        <v>14</v>
      </c>
      <c r="E265" s="3" t="s">
        <v>1297</v>
      </c>
      <c r="F265" s="3" t="s">
        <v>1298</v>
      </c>
      <c r="G265" s="3"/>
      <c r="H265" s="3" t="s">
        <v>1299</v>
      </c>
      <c r="I265" s="4"/>
      <c r="J265" s="4"/>
      <c r="K265" s="4"/>
      <c r="L265" s="4"/>
    </row>
    <row r="266" spans="1:12" x14ac:dyDescent="0.25">
      <c r="A266" s="2" t="str">
        <f>HYPERLINK("https://www.list-org.com/company/13738037","https://www.list-org.com/company/13738037")</f>
        <v>https://www.list-org.com/company/13738037</v>
      </c>
      <c r="B266" s="3" t="s">
        <v>1300</v>
      </c>
      <c r="C266" s="3" t="s">
        <v>1301</v>
      </c>
      <c r="D266" s="3" t="s">
        <v>14</v>
      </c>
      <c r="E266" s="3" t="s">
        <v>1302</v>
      </c>
      <c r="F266" s="3" t="s">
        <v>1303</v>
      </c>
      <c r="G266" s="3"/>
      <c r="H266" s="3" t="s">
        <v>1304</v>
      </c>
      <c r="I266" s="4"/>
      <c r="J266" s="4"/>
      <c r="K266" s="4"/>
      <c r="L266" s="4"/>
    </row>
    <row r="267" spans="1:12" x14ac:dyDescent="0.25">
      <c r="A267" s="2" t="str">
        <f>HYPERLINK("https://www.list-org.com/company/13738087","https://www.list-org.com/company/13738087")</f>
        <v>https://www.list-org.com/company/13738087</v>
      </c>
      <c r="B267" s="3" t="s">
        <v>1305</v>
      </c>
      <c r="C267" s="3" t="s">
        <v>1306</v>
      </c>
      <c r="D267" s="3" t="s">
        <v>14</v>
      </c>
      <c r="E267" s="3" t="s">
        <v>1307</v>
      </c>
      <c r="F267" s="3" t="s">
        <v>1308</v>
      </c>
      <c r="G267" s="3"/>
      <c r="H267" s="3" t="s">
        <v>1309</v>
      </c>
      <c r="I267" s="4"/>
      <c r="J267" s="4"/>
      <c r="K267" s="4"/>
      <c r="L267" s="4"/>
    </row>
    <row r="268" spans="1:12" x14ac:dyDescent="0.25">
      <c r="A268" s="2" t="str">
        <f>HYPERLINK("https://www.list-org.com/company/13738248","https://www.list-org.com/company/13738248")</f>
        <v>https://www.list-org.com/company/13738248</v>
      </c>
      <c r="B268" s="3" t="s">
        <v>1310</v>
      </c>
      <c r="C268" s="3" t="s">
        <v>1311</v>
      </c>
      <c r="D268" s="3" t="s">
        <v>14</v>
      </c>
      <c r="E268" s="3" t="s">
        <v>1312</v>
      </c>
      <c r="F268" s="3" t="s">
        <v>1313</v>
      </c>
      <c r="G268" s="3"/>
      <c r="H268" s="3" t="s">
        <v>1314</v>
      </c>
      <c r="I268" s="4"/>
      <c r="J268" s="4"/>
      <c r="K268" s="4"/>
      <c r="L268" s="4"/>
    </row>
    <row r="269" spans="1:12" x14ac:dyDescent="0.25">
      <c r="A269" s="2" t="str">
        <f>HYPERLINK("https://www.list-org.com/company/13738252","https://www.list-org.com/company/13738252")</f>
        <v>https://www.list-org.com/company/13738252</v>
      </c>
      <c r="B269" s="3" t="s">
        <v>1315</v>
      </c>
      <c r="C269" s="3" t="s">
        <v>1316</v>
      </c>
      <c r="D269" s="3" t="s">
        <v>14</v>
      </c>
      <c r="E269" s="3" t="s">
        <v>1317</v>
      </c>
      <c r="F269" s="3" t="s">
        <v>1318</v>
      </c>
      <c r="G269" s="3"/>
      <c r="H269" s="3" t="s">
        <v>1319</v>
      </c>
      <c r="I269" s="4">
        <v>2</v>
      </c>
      <c r="J269" s="4">
        <v>520</v>
      </c>
      <c r="K269" s="4">
        <v>62</v>
      </c>
      <c r="L269" s="4">
        <v>127</v>
      </c>
    </row>
    <row r="270" spans="1:12" x14ac:dyDescent="0.25">
      <c r="A270" s="2" t="str">
        <f>HYPERLINK("https://www.list-org.com/company/13738557","https://www.list-org.com/company/13738557")</f>
        <v>https://www.list-org.com/company/13738557</v>
      </c>
      <c r="B270" s="3" t="s">
        <v>1320</v>
      </c>
      <c r="C270" s="3" t="s">
        <v>1321</v>
      </c>
      <c r="D270" s="3" t="s">
        <v>14</v>
      </c>
      <c r="E270" s="3" t="s">
        <v>1322</v>
      </c>
      <c r="F270" s="3" t="s">
        <v>1323</v>
      </c>
      <c r="G270" s="3"/>
      <c r="H270" s="3" t="s">
        <v>1324</v>
      </c>
      <c r="I270" s="4"/>
      <c r="J270" s="4"/>
      <c r="K270" s="4"/>
      <c r="L270" s="4"/>
    </row>
    <row r="271" spans="1:12" x14ac:dyDescent="0.25">
      <c r="A271" s="2" t="str">
        <f>HYPERLINK("https://www.list-org.com/company/13738629","https://www.list-org.com/company/13738629")</f>
        <v>https://www.list-org.com/company/13738629</v>
      </c>
      <c r="B271" s="3" t="s">
        <v>1325</v>
      </c>
      <c r="C271" s="3" t="s">
        <v>1326</v>
      </c>
      <c r="D271" s="3" t="s">
        <v>14</v>
      </c>
      <c r="E271" s="3" t="s">
        <v>1327</v>
      </c>
      <c r="F271" s="3" t="s">
        <v>1328</v>
      </c>
      <c r="G271" s="3"/>
      <c r="H271" s="3" t="s">
        <v>1329</v>
      </c>
      <c r="I271" s="4"/>
      <c r="J271" s="4"/>
      <c r="K271" s="4"/>
      <c r="L271" s="4"/>
    </row>
    <row r="272" spans="1:12" x14ac:dyDescent="0.25">
      <c r="A272" s="2" t="str">
        <f>HYPERLINK("https://www.list-org.com/company/13738725","https://www.list-org.com/company/13738725")</f>
        <v>https://www.list-org.com/company/13738725</v>
      </c>
      <c r="B272" s="3" t="s">
        <v>1330</v>
      </c>
      <c r="C272" s="3" t="s">
        <v>1331</v>
      </c>
      <c r="D272" s="3" t="s">
        <v>14</v>
      </c>
      <c r="E272" s="3" t="s">
        <v>1332</v>
      </c>
      <c r="F272" s="3" t="s">
        <v>1333</v>
      </c>
      <c r="G272" s="3"/>
      <c r="H272" s="3" t="s">
        <v>1334</v>
      </c>
      <c r="I272" s="4"/>
      <c r="J272" s="4"/>
      <c r="K272" s="4"/>
      <c r="L272" s="4"/>
    </row>
    <row r="273" spans="1:12" x14ac:dyDescent="0.25">
      <c r="A273" s="2" t="str">
        <f>HYPERLINK("https://www.list-org.com/company/13738892","https://www.list-org.com/company/13738892")</f>
        <v>https://www.list-org.com/company/13738892</v>
      </c>
      <c r="B273" s="3" t="s">
        <v>1335</v>
      </c>
      <c r="C273" s="3" t="s">
        <v>1336</v>
      </c>
      <c r="D273" s="3" t="s">
        <v>14</v>
      </c>
      <c r="E273" s="3" t="s">
        <v>1337</v>
      </c>
      <c r="F273" s="3" t="s">
        <v>1338</v>
      </c>
      <c r="G273" s="3"/>
      <c r="H273" s="3" t="s">
        <v>1339</v>
      </c>
      <c r="I273" s="4"/>
      <c r="J273" s="4"/>
      <c r="K273" s="4"/>
      <c r="L273" s="4"/>
    </row>
    <row r="274" spans="1:12" x14ac:dyDescent="0.25">
      <c r="A274" s="2" t="str">
        <f>HYPERLINK("https://www.list-org.com/company/13739183","https://www.list-org.com/company/13739183")</f>
        <v>https://www.list-org.com/company/13739183</v>
      </c>
      <c r="B274" s="3" t="s">
        <v>1340</v>
      </c>
      <c r="C274" s="3" t="s">
        <v>1341</v>
      </c>
      <c r="D274" s="3" t="s">
        <v>14</v>
      </c>
      <c r="E274" s="3" t="s">
        <v>1342</v>
      </c>
      <c r="F274" s="3" t="s">
        <v>1343</v>
      </c>
      <c r="G274" s="3"/>
      <c r="H274" s="3" t="s">
        <v>1344</v>
      </c>
      <c r="I274" s="4"/>
      <c r="J274" s="4"/>
      <c r="K274" s="4"/>
      <c r="L274" s="4"/>
    </row>
    <row r="275" spans="1:12" x14ac:dyDescent="0.25">
      <c r="A275" s="2" t="str">
        <f>HYPERLINK("https://www.list-org.com/company/13739315","https://www.list-org.com/company/13739315")</f>
        <v>https://www.list-org.com/company/13739315</v>
      </c>
      <c r="B275" s="3" t="s">
        <v>1345</v>
      </c>
      <c r="C275" s="3" t="s">
        <v>1346</v>
      </c>
      <c r="D275" s="3" t="s">
        <v>14</v>
      </c>
      <c r="E275" s="3" t="s">
        <v>1347</v>
      </c>
      <c r="F275" s="3" t="s">
        <v>1348</v>
      </c>
      <c r="G275" s="3"/>
      <c r="H275" s="3" t="s">
        <v>1349</v>
      </c>
      <c r="I275" s="4"/>
      <c r="J275" s="4"/>
      <c r="K275" s="4"/>
      <c r="L275" s="4"/>
    </row>
    <row r="276" spans="1:12" x14ac:dyDescent="0.25">
      <c r="A276" s="2" t="str">
        <f>HYPERLINK("https://www.list-org.com/company/13739328","https://www.list-org.com/company/13739328")</f>
        <v>https://www.list-org.com/company/13739328</v>
      </c>
      <c r="B276" s="3" t="s">
        <v>1350</v>
      </c>
      <c r="C276" s="3" t="s">
        <v>1351</v>
      </c>
      <c r="D276" s="3" t="s">
        <v>14</v>
      </c>
      <c r="E276" s="3" t="s">
        <v>1352</v>
      </c>
      <c r="F276" s="3" t="s">
        <v>1353</v>
      </c>
      <c r="G276" s="3"/>
      <c r="H276" s="3" t="s">
        <v>1354</v>
      </c>
      <c r="I276" s="4"/>
      <c r="J276" s="4"/>
      <c r="K276" s="4"/>
      <c r="L276" s="4"/>
    </row>
    <row r="277" spans="1:12" x14ac:dyDescent="0.25">
      <c r="A277" s="2" t="str">
        <f>HYPERLINK("https://www.list-org.com/company/13739336","https://www.list-org.com/company/13739336")</f>
        <v>https://www.list-org.com/company/13739336</v>
      </c>
      <c r="B277" s="3" t="s">
        <v>1355</v>
      </c>
      <c r="C277" s="3" t="s">
        <v>1356</v>
      </c>
      <c r="D277" s="3" t="s">
        <v>14</v>
      </c>
      <c r="E277" s="3" t="s">
        <v>1357</v>
      </c>
      <c r="F277" s="3" t="s">
        <v>1358</v>
      </c>
      <c r="G277" s="3"/>
      <c r="H277" s="3" t="s">
        <v>1359</v>
      </c>
      <c r="I277" s="4"/>
      <c r="J277" s="4"/>
      <c r="K277" s="4"/>
      <c r="L277" s="4"/>
    </row>
    <row r="278" spans="1:12" x14ac:dyDescent="0.25">
      <c r="A278" s="2" t="str">
        <f>HYPERLINK("https://www.list-org.com/company/13740240","https://www.list-org.com/company/13740240")</f>
        <v>https://www.list-org.com/company/13740240</v>
      </c>
      <c r="B278" s="3" t="s">
        <v>1360</v>
      </c>
      <c r="C278" s="3" t="s">
        <v>1361</v>
      </c>
      <c r="D278" s="3" t="s">
        <v>14</v>
      </c>
      <c r="E278" s="3" t="s">
        <v>1362</v>
      </c>
      <c r="F278" s="3" t="s">
        <v>1363</v>
      </c>
      <c r="G278" s="3"/>
      <c r="H278" s="3" t="s">
        <v>1364</v>
      </c>
      <c r="I278" s="4">
        <v>1</v>
      </c>
      <c r="J278" s="4">
        <v>673</v>
      </c>
      <c r="K278" s="4">
        <v>-35</v>
      </c>
      <c r="L278" s="4">
        <v>77</v>
      </c>
    </row>
    <row r="279" spans="1:12" x14ac:dyDescent="0.25">
      <c r="A279" s="2" t="str">
        <f>HYPERLINK("https://www.list-org.com/company/13740620","https://www.list-org.com/company/13740620")</f>
        <v>https://www.list-org.com/company/13740620</v>
      </c>
      <c r="B279" s="3" t="s">
        <v>1365</v>
      </c>
      <c r="C279" s="3" t="s">
        <v>1366</v>
      </c>
      <c r="D279" s="3" t="s">
        <v>14</v>
      </c>
      <c r="E279" s="3" t="s">
        <v>1367</v>
      </c>
      <c r="F279" s="3" t="s">
        <v>1368</v>
      </c>
      <c r="G279" s="3"/>
      <c r="H279" s="3" t="s">
        <v>1369</v>
      </c>
      <c r="I279" s="4"/>
      <c r="J279" s="4"/>
      <c r="K279" s="4"/>
      <c r="L279" s="4"/>
    </row>
    <row r="280" spans="1:12" x14ac:dyDescent="0.25">
      <c r="A280" s="2" t="str">
        <f>HYPERLINK("https://www.list-org.com/company/13740888","https://www.list-org.com/company/13740888")</f>
        <v>https://www.list-org.com/company/13740888</v>
      </c>
      <c r="B280" s="3" t="s">
        <v>1370</v>
      </c>
      <c r="C280" s="3" t="s">
        <v>1371</v>
      </c>
      <c r="D280" s="3" t="s">
        <v>14</v>
      </c>
      <c r="E280" s="3" t="s">
        <v>1372</v>
      </c>
      <c r="F280" s="3" t="s">
        <v>1373</v>
      </c>
      <c r="G280" s="3"/>
      <c r="H280" s="3" t="s">
        <v>963</v>
      </c>
      <c r="I280" s="4"/>
      <c r="J280" s="4"/>
      <c r="K280" s="4"/>
      <c r="L280" s="4"/>
    </row>
    <row r="281" spans="1:12" x14ac:dyDescent="0.25">
      <c r="A281" s="2" t="str">
        <f>HYPERLINK("https://www.list-org.com/company/13740938","https://www.list-org.com/company/13740938")</f>
        <v>https://www.list-org.com/company/13740938</v>
      </c>
      <c r="B281" s="3" t="s">
        <v>1374</v>
      </c>
      <c r="C281" s="3" t="s">
        <v>1375</v>
      </c>
      <c r="D281" s="3" t="s">
        <v>14</v>
      </c>
      <c r="E281" s="3" t="s">
        <v>1376</v>
      </c>
      <c r="F281" s="3" t="s">
        <v>1377</v>
      </c>
      <c r="G281" s="3"/>
      <c r="H281" s="3" t="s">
        <v>1378</v>
      </c>
      <c r="I281" s="4"/>
      <c r="J281" s="4"/>
      <c r="K281" s="4"/>
      <c r="L281" s="4"/>
    </row>
    <row r="282" spans="1:12" x14ac:dyDescent="0.25">
      <c r="A282" s="2" t="str">
        <f>HYPERLINK("https://www.list-org.com/company/13741046","https://www.list-org.com/company/13741046")</f>
        <v>https://www.list-org.com/company/13741046</v>
      </c>
      <c r="B282" s="3" t="s">
        <v>1379</v>
      </c>
      <c r="C282" s="3" t="s">
        <v>1380</v>
      </c>
      <c r="D282" s="3" t="s">
        <v>14</v>
      </c>
      <c r="E282" s="3" t="s">
        <v>1381</v>
      </c>
      <c r="F282" s="3" t="s">
        <v>1382</v>
      </c>
      <c r="G282" s="3"/>
      <c r="H282" s="3" t="s">
        <v>1383</v>
      </c>
      <c r="I282" s="4"/>
      <c r="J282" s="4"/>
      <c r="K282" s="4"/>
      <c r="L282" s="4"/>
    </row>
    <row r="283" spans="1:12" x14ac:dyDescent="0.25">
      <c r="A283" s="2" t="str">
        <f>HYPERLINK("https://www.list-org.com/company/13741092","https://www.list-org.com/company/13741092")</f>
        <v>https://www.list-org.com/company/13741092</v>
      </c>
      <c r="B283" s="3" t="s">
        <v>1384</v>
      </c>
      <c r="C283" s="3" t="s">
        <v>1385</v>
      </c>
      <c r="D283" s="3" t="s">
        <v>14</v>
      </c>
      <c r="E283" s="3" t="s">
        <v>1386</v>
      </c>
      <c r="F283" s="3" t="s">
        <v>1387</v>
      </c>
      <c r="G283" s="3"/>
      <c r="H283" s="3" t="s">
        <v>1388</v>
      </c>
      <c r="I283" s="4"/>
      <c r="J283" s="4"/>
      <c r="K283" s="4"/>
      <c r="L283" s="4"/>
    </row>
    <row r="284" spans="1:12" x14ac:dyDescent="0.25">
      <c r="A284" s="2" t="str">
        <f>HYPERLINK("https://www.list-org.com/company/13741136","https://www.list-org.com/company/13741136")</f>
        <v>https://www.list-org.com/company/13741136</v>
      </c>
      <c r="B284" s="3" t="s">
        <v>1389</v>
      </c>
      <c r="C284" s="3" t="s">
        <v>1390</v>
      </c>
      <c r="D284" s="3" t="s">
        <v>14</v>
      </c>
      <c r="E284" s="3" t="s">
        <v>1391</v>
      </c>
      <c r="F284" s="3" t="s">
        <v>1392</v>
      </c>
      <c r="G284" s="3"/>
      <c r="H284" s="3" t="s">
        <v>1393</v>
      </c>
      <c r="I284" s="4"/>
      <c r="J284" s="4"/>
      <c r="K284" s="4"/>
      <c r="L284" s="4"/>
    </row>
    <row r="285" spans="1:12" x14ac:dyDescent="0.25">
      <c r="A285" s="2" t="str">
        <f>HYPERLINK("https://www.list-org.com/company/13741182","https://www.list-org.com/company/13741182")</f>
        <v>https://www.list-org.com/company/13741182</v>
      </c>
      <c r="B285" s="3" t="s">
        <v>1394</v>
      </c>
      <c r="C285" s="3" t="s">
        <v>1395</v>
      </c>
      <c r="D285" s="3" t="s">
        <v>14</v>
      </c>
      <c r="E285" s="3" t="s">
        <v>1396</v>
      </c>
      <c r="F285" s="3" t="s">
        <v>1397</v>
      </c>
      <c r="G285" s="3"/>
      <c r="H285" s="3" t="s">
        <v>1251</v>
      </c>
      <c r="I285" s="4"/>
      <c r="J285" s="4"/>
      <c r="K285" s="4"/>
      <c r="L285" s="4"/>
    </row>
    <row r="286" spans="1:12" x14ac:dyDescent="0.25">
      <c r="A286" s="2" t="str">
        <f>HYPERLINK("https://www.list-org.com/company/13741333","https://www.list-org.com/company/13741333")</f>
        <v>https://www.list-org.com/company/13741333</v>
      </c>
      <c r="B286" s="3" t="s">
        <v>1398</v>
      </c>
      <c r="C286" s="3" t="s">
        <v>1399</v>
      </c>
      <c r="D286" s="3" t="s">
        <v>14</v>
      </c>
      <c r="E286" s="3" t="s">
        <v>1400</v>
      </c>
      <c r="F286" s="3" t="s">
        <v>1401</v>
      </c>
      <c r="G286" s="3"/>
      <c r="H286" s="3" t="s">
        <v>1402</v>
      </c>
      <c r="I286" s="4"/>
      <c r="J286" s="4"/>
      <c r="K286" s="4"/>
      <c r="L286" s="4"/>
    </row>
    <row r="287" spans="1:12" x14ac:dyDescent="0.25">
      <c r="A287" s="2" t="str">
        <f>HYPERLINK("https://www.list-org.com/company/13741513","https://www.list-org.com/company/13741513")</f>
        <v>https://www.list-org.com/company/13741513</v>
      </c>
      <c r="B287" s="3" t="s">
        <v>1403</v>
      </c>
      <c r="C287" s="3" t="s">
        <v>1404</v>
      </c>
      <c r="D287" s="3" t="s">
        <v>14</v>
      </c>
      <c r="E287" s="3" t="s">
        <v>1405</v>
      </c>
      <c r="F287" s="3" t="s">
        <v>1406</v>
      </c>
      <c r="G287" s="3"/>
      <c r="H287" s="3" t="s">
        <v>1113</v>
      </c>
      <c r="I287" s="4">
        <v>1</v>
      </c>
      <c r="J287" s="4"/>
      <c r="K287" s="4"/>
      <c r="L287" s="4">
        <v>1246</v>
      </c>
    </row>
    <row r="288" spans="1:12" x14ac:dyDescent="0.25">
      <c r="A288" s="2" t="str">
        <f>HYPERLINK("https://www.list-org.com/company/13741638","https://www.list-org.com/company/13741638")</f>
        <v>https://www.list-org.com/company/13741638</v>
      </c>
      <c r="B288" s="3" t="s">
        <v>1407</v>
      </c>
      <c r="C288" s="3" t="s">
        <v>1408</v>
      </c>
      <c r="D288" s="3" t="s">
        <v>14</v>
      </c>
      <c r="E288" s="3" t="s">
        <v>1409</v>
      </c>
      <c r="F288" s="3" t="s">
        <v>1410</v>
      </c>
      <c r="G288" s="3"/>
      <c r="H288" s="3" t="s">
        <v>1411</v>
      </c>
      <c r="I288" s="4"/>
      <c r="J288" s="4"/>
      <c r="K288" s="4"/>
      <c r="L288" s="4"/>
    </row>
    <row r="289" spans="1:12" x14ac:dyDescent="0.25">
      <c r="A289" s="2" t="str">
        <f>HYPERLINK("https://www.list-org.com/company/13741875","https://www.list-org.com/company/13741875")</f>
        <v>https://www.list-org.com/company/13741875</v>
      </c>
      <c r="B289" s="3" t="s">
        <v>1412</v>
      </c>
      <c r="C289" s="3" t="s">
        <v>1413</v>
      </c>
      <c r="D289" s="3" t="s">
        <v>14</v>
      </c>
      <c r="E289" s="3" t="s">
        <v>1414</v>
      </c>
      <c r="F289" s="3" t="s">
        <v>1415</v>
      </c>
      <c r="G289" s="3"/>
      <c r="H289" s="3" t="s">
        <v>1416</v>
      </c>
      <c r="I289" s="4"/>
      <c r="J289" s="4"/>
      <c r="K289" s="4"/>
      <c r="L289" s="4"/>
    </row>
    <row r="290" spans="1:12" x14ac:dyDescent="0.25">
      <c r="A290" s="2" t="str">
        <f>HYPERLINK("https://www.list-org.com/company/13742069","https://www.list-org.com/company/13742069")</f>
        <v>https://www.list-org.com/company/13742069</v>
      </c>
      <c r="B290" s="3" t="s">
        <v>1417</v>
      </c>
      <c r="C290" s="3" t="s">
        <v>1418</v>
      </c>
      <c r="D290" s="3" t="s">
        <v>14</v>
      </c>
      <c r="E290" s="3" t="s">
        <v>1419</v>
      </c>
      <c r="F290" s="3" t="s">
        <v>1420</v>
      </c>
      <c r="G290" s="3"/>
      <c r="H290" s="3" t="s">
        <v>1421</v>
      </c>
      <c r="I290" s="4"/>
      <c r="J290" s="4"/>
      <c r="K290" s="4"/>
      <c r="L290" s="4"/>
    </row>
    <row r="291" spans="1:12" x14ac:dyDescent="0.25">
      <c r="A291" s="2" t="str">
        <f>HYPERLINK("https://www.list-org.com/company/13742149","https://www.list-org.com/company/13742149")</f>
        <v>https://www.list-org.com/company/13742149</v>
      </c>
      <c r="B291" s="3" t="s">
        <v>1422</v>
      </c>
      <c r="C291" s="3" t="s">
        <v>1423</v>
      </c>
      <c r="D291" s="3" t="s">
        <v>14</v>
      </c>
      <c r="E291" s="3" t="s">
        <v>1424</v>
      </c>
      <c r="F291" s="3" t="s">
        <v>1425</v>
      </c>
      <c r="G291" s="3"/>
      <c r="H291" s="3" t="s">
        <v>1426</v>
      </c>
      <c r="I291" s="4"/>
      <c r="J291" s="4"/>
      <c r="K291" s="4"/>
      <c r="L291" s="4"/>
    </row>
    <row r="292" spans="1:12" x14ac:dyDescent="0.25">
      <c r="A292" s="2" t="str">
        <f>HYPERLINK("https://www.list-org.com/company/13742163","https://www.list-org.com/company/13742163")</f>
        <v>https://www.list-org.com/company/13742163</v>
      </c>
      <c r="B292" s="3" t="s">
        <v>1427</v>
      </c>
      <c r="C292" s="3" t="s">
        <v>1428</v>
      </c>
      <c r="D292" s="3" t="s">
        <v>14</v>
      </c>
      <c r="E292" s="3" t="s">
        <v>1429</v>
      </c>
      <c r="F292" s="3" t="s">
        <v>1430</v>
      </c>
      <c r="G292" s="3"/>
      <c r="H292" s="3" t="s">
        <v>1431</v>
      </c>
      <c r="I292" s="4"/>
      <c r="J292" s="4"/>
      <c r="K292" s="4"/>
      <c r="L292" s="4"/>
    </row>
    <row r="293" spans="1:12" x14ac:dyDescent="0.25">
      <c r="A293" s="2" t="str">
        <f>HYPERLINK("https://www.list-org.com/company/13742268","https://www.list-org.com/company/13742268")</f>
        <v>https://www.list-org.com/company/13742268</v>
      </c>
      <c r="B293" s="3" t="s">
        <v>1432</v>
      </c>
      <c r="C293" s="3" t="s">
        <v>1433</v>
      </c>
      <c r="D293" s="3" t="s">
        <v>14</v>
      </c>
      <c r="E293" s="3" t="s">
        <v>1434</v>
      </c>
      <c r="F293" s="3" t="s">
        <v>1435</v>
      </c>
      <c r="G293" s="3"/>
      <c r="H293" s="3" t="s">
        <v>1436</v>
      </c>
      <c r="I293" s="4"/>
      <c r="J293" s="4"/>
      <c r="K293" s="4"/>
      <c r="L293" s="4"/>
    </row>
    <row r="294" spans="1:12" x14ac:dyDescent="0.25">
      <c r="A294" s="2" t="str">
        <f>HYPERLINK("https://www.list-org.com/company/13742362","https://www.list-org.com/company/13742362")</f>
        <v>https://www.list-org.com/company/13742362</v>
      </c>
      <c r="B294" s="3" t="s">
        <v>1437</v>
      </c>
      <c r="C294" s="3" t="s">
        <v>1438</v>
      </c>
      <c r="D294" s="3" t="s">
        <v>14</v>
      </c>
      <c r="E294" s="3" t="s">
        <v>1439</v>
      </c>
      <c r="F294" s="3" t="s">
        <v>1440</v>
      </c>
      <c r="G294" s="3"/>
      <c r="H294" s="3" t="s">
        <v>1441</v>
      </c>
      <c r="I294" s="4"/>
      <c r="J294" s="4"/>
      <c r="K294" s="4"/>
      <c r="L294" s="4"/>
    </row>
    <row r="295" spans="1:12" x14ac:dyDescent="0.25">
      <c r="A295" s="2" t="str">
        <f>HYPERLINK("https://www.list-org.com/company/13742675","https://www.list-org.com/company/13742675")</f>
        <v>https://www.list-org.com/company/13742675</v>
      </c>
      <c r="B295" s="3" t="s">
        <v>1442</v>
      </c>
      <c r="C295" s="3" t="s">
        <v>1443</v>
      </c>
      <c r="D295" s="3" t="s">
        <v>14</v>
      </c>
      <c r="E295" s="3" t="s">
        <v>1444</v>
      </c>
      <c r="F295" s="3" t="s">
        <v>1445</v>
      </c>
      <c r="G295" s="3"/>
      <c r="H295" s="3" t="s">
        <v>1446</v>
      </c>
      <c r="I295" s="4"/>
      <c r="J295" s="4"/>
      <c r="K295" s="4"/>
      <c r="L295" s="4"/>
    </row>
    <row r="296" spans="1:12" x14ac:dyDescent="0.25">
      <c r="A296" s="2" t="str">
        <f>HYPERLINK("https://www.list-org.com/company/13742779","https://www.list-org.com/company/13742779")</f>
        <v>https://www.list-org.com/company/13742779</v>
      </c>
      <c r="B296" s="3" t="s">
        <v>1447</v>
      </c>
      <c r="C296" s="3" t="s">
        <v>1448</v>
      </c>
      <c r="D296" s="3" t="s">
        <v>14</v>
      </c>
      <c r="E296" s="3" t="s">
        <v>1449</v>
      </c>
      <c r="F296" s="3" t="s">
        <v>1450</v>
      </c>
      <c r="G296" s="3"/>
      <c r="H296" s="3" t="s">
        <v>1451</v>
      </c>
      <c r="I296" s="4">
        <v>1</v>
      </c>
      <c r="J296" s="4"/>
      <c r="K296" s="4"/>
      <c r="L296" s="4"/>
    </row>
    <row r="297" spans="1:12" x14ac:dyDescent="0.25">
      <c r="A297" s="2" t="str">
        <f>HYPERLINK("https://www.list-org.com/company/13742817","https://www.list-org.com/company/13742817")</f>
        <v>https://www.list-org.com/company/13742817</v>
      </c>
      <c r="B297" s="3" t="s">
        <v>1452</v>
      </c>
      <c r="C297" s="3" t="s">
        <v>1453</v>
      </c>
      <c r="D297" s="3" t="s">
        <v>14</v>
      </c>
      <c r="E297" s="3" t="s">
        <v>1454</v>
      </c>
      <c r="F297" s="3" t="s">
        <v>1455</v>
      </c>
      <c r="G297" s="3"/>
      <c r="H297" s="3" t="s">
        <v>1456</v>
      </c>
      <c r="I297" s="4"/>
      <c r="J297" s="4"/>
      <c r="K297" s="4"/>
      <c r="L297" s="4"/>
    </row>
    <row r="298" spans="1:12" x14ac:dyDescent="0.25">
      <c r="A298" s="2" t="str">
        <f>HYPERLINK("https://www.list-org.com/company/13742837","https://www.list-org.com/company/13742837")</f>
        <v>https://www.list-org.com/company/13742837</v>
      </c>
      <c r="B298" s="3" t="s">
        <v>1457</v>
      </c>
      <c r="C298" s="3" t="s">
        <v>1458</v>
      </c>
      <c r="D298" s="3" t="s">
        <v>14</v>
      </c>
      <c r="E298" s="3" t="s">
        <v>1459</v>
      </c>
      <c r="F298" s="3" t="s">
        <v>1460</v>
      </c>
      <c r="G298" s="3"/>
      <c r="H298" s="3" t="s">
        <v>1461</v>
      </c>
      <c r="I298" s="4"/>
      <c r="J298" s="4"/>
      <c r="K298" s="4"/>
      <c r="L298" s="4"/>
    </row>
    <row r="299" spans="1:12" x14ac:dyDescent="0.25">
      <c r="A299" s="2" t="str">
        <f>HYPERLINK("https://www.list-org.com/company/13742993","https://www.list-org.com/company/13742993")</f>
        <v>https://www.list-org.com/company/13742993</v>
      </c>
      <c r="B299" s="3" t="s">
        <v>1462</v>
      </c>
      <c r="C299" s="3" t="s">
        <v>1463</v>
      </c>
      <c r="D299" s="3" t="s">
        <v>14</v>
      </c>
      <c r="E299" s="3" t="s">
        <v>1464</v>
      </c>
      <c r="F299" s="3" t="s">
        <v>1465</v>
      </c>
      <c r="G299" s="3"/>
      <c r="H299" s="3" t="s">
        <v>1466</v>
      </c>
      <c r="I299" s="4"/>
      <c r="J299" s="4"/>
      <c r="K299" s="4"/>
      <c r="L299" s="4"/>
    </row>
    <row r="300" spans="1:12" x14ac:dyDescent="0.25">
      <c r="A300" s="2" t="str">
        <f>HYPERLINK("https://www.list-org.com/company/13743076","https://www.list-org.com/company/13743076")</f>
        <v>https://www.list-org.com/company/13743076</v>
      </c>
      <c r="B300" s="3" t="s">
        <v>1467</v>
      </c>
      <c r="C300" s="3" t="s">
        <v>1468</v>
      </c>
      <c r="D300" s="3" t="s">
        <v>14</v>
      </c>
      <c r="E300" s="3" t="s">
        <v>1469</v>
      </c>
      <c r="F300" s="3" t="s">
        <v>1470</v>
      </c>
      <c r="G300" s="3"/>
      <c r="H300" s="3" t="s">
        <v>1471</v>
      </c>
      <c r="I300" s="4"/>
      <c r="J300" s="4"/>
      <c r="K300" s="4"/>
      <c r="L300" s="4"/>
    </row>
    <row r="301" spans="1:12" x14ac:dyDescent="0.25">
      <c r="A301" s="2" t="str">
        <f>HYPERLINK("https://www.list-org.com/company/13743080","https://www.list-org.com/company/13743080")</f>
        <v>https://www.list-org.com/company/13743080</v>
      </c>
      <c r="B301" s="3" t="s">
        <v>1472</v>
      </c>
      <c r="C301" s="3" t="s">
        <v>1473</v>
      </c>
      <c r="D301" s="3" t="s">
        <v>14</v>
      </c>
      <c r="E301" s="3" t="s">
        <v>1474</v>
      </c>
      <c r="F301" s="3" t="s">
        <v>1475</v>
      </c>
      <c r="G301" s="3"/>
      <c r="H301" s="3" t="s">
        <v>1476</v>
      </c>
      <c r="I301" s="4"/>
      <c r="J301" s="4"/>
      <c r="K301" s="4"/>
      <c r="L301" s="4"/>
    </row>
    <row r="302" spans="1:12" x14ac:dyDescent="0.25">
      <c r="A302" s="2" t="str">
        <f>HYPERLINK("https://www.list-org.com/company/13743354","https://www.list-org.com/company/13743354")</f>
        <v>https://www.list-org.com/company/13743354</v>
      </c>
      <c r="B302" s="3" t="s">
        <v>1477</v>
      </c>
      <c r="C302" s="3" t="s">
        <v>1478</v>
      </c>
      <c r="D302" s="3" t="s">
        <v>14</v>
      </c>
      <c r="E302" s="3" t="s">
        <v>1479</v>
      </c>
      <c r="F302" s="3" t="s">
        <v>1480</v>
      </c>
      <c r="G302" s="3"/>
      <c r="H302" s="3" t="s">
        <v>1481</v>
      </c>
      <c r="I302" s="4"/>
      <c r="J302" s="4"/>
      <c r="K302" s="4"/>
      <c r="L302" s="4"/>
    </row>
    <row r="303" spans="1:12" x14ac:dyDescent="0.25">
      <c r="A303" s="2" t="str">
        <f>HYPERLINK("https://www.list-org.com/company/13743415","https://www.list-org.com/company/13743415")</f>
        <v>https://www.list-org.com/company/13743415</v>
      </c>
      <c r="B303" s="3" t="s">
        <v>1482</v>
      </c>
      <c r="C303" s="3" t="s">
        <v>1483</v>
      </c>
      <c r="D303" s="3" t="s">
        <v>14</v>
      </c>
      <c r="E303" s="3" t="s">
        <v>1484</v>
      </c>
      <c r="F303" s="3" t="s">
        <v>1485</v>
      </c>
      <c r="G303" s="3"/>
      <c r="H303" s="3" t="s">
        <v>1486</v>
      </c>
      <c r="I303" s="4"/>
      <c r="J303" s="4"/>
      <c r="K303" s="4"/>
      <c r="L303" s="4"/>
    </row>
    <row r="304" spans="1:12" x14ac:dyDescent="0.25">
      <c r="A304" s="2" t="str">
        <f>HYPERLINK("https://www.list-org.com/company/13743517","https://www.list-org.com/company/13743517")</f>
        <v>https://www.list-org.com/company/13743517</v>
      </c>
      <c r="B304" s="3" t="s">
        <v>1487</v>
      </c>
      <c r="C304" s="3" t="s">
        <v>1488</v>
      </c>
      <c r="D304" s="3" t="s">
        <v>14</v>
      </c>
      <c r="E304" s="3" t="s">
        <v>1489</v>
      </c>
      <c r="F304" s="3" t="s">
        <v>1490</v>
      </c>
      <c r="G304" s="3"/>
      <c r="H304" s="3" t="s">
        <v>1491</v>
      </c>
      <c r="I304" s="4"/>
      <c r="J304" s="4"/>
      <c r="K304" s="4"/>
      <c r="L304" s="4"/>
    </row>
    <row r="305" spans="1:12" x14ac:dyDescent="0.25">
      <c r="A305" s="2" t="str">
        <f>HYPERLINK("https://www.list-org.com/company/13743520","https://www.list-org.com/company/13743520")</f>
        <v>https://www.list-org.com/company/13743520</v>
      </c>
      <c r="B305" s="3" t="s">
        <v>1492</v>
      </c>
      <c r="C305" s="3" t="s">
        <v>1493</v>
      </c>
      <c r="D305" s="3" t="s">
        <v>14</v>
      </c>
      <c r="E305" s="3" t="s">
        <v>1494</v>
      </c>
      <c r="F305" s="3" t="s">
        <v>1495</v>
      </c>
      <c r="G305" s="3"/>
      <c r="H305" s="3" t="s">
        <v>1496</v>
      </c>
      <c r="I305" s="4"/>
      <c r="J305" s="4"/>
      <c r="K305" s="4"/>
      <c r="L305" s="4"/>
    </row>
    <row r="306" spans="1:12" x14ac:dyDescent="0.25">
      <c r="A306" s="2" t="str">
        <f>HYPERLINK("https://www.list-org.com/company/13743521","https://www.list-org.com/company/13743521")</f>
        <v>https://www.list-org.com/company/13743521</v>
      </c>
      <c r="B306" s="3" t="s">
        <v>1497</v>
      </c>
      <c r="C306" s="3" t="s">
        <v>1498</v>
      </c>
      <c r="D306" s="3" t="s">
        <v>14</v>
      </c>
      <c r="E306" s="3" t="s">
        <v>1499</v>
      </c>
      <c r="F306" s="3" t="s">
        <v>1500</v>
      </c>
      <c r="G306" s="3"/>
      <c r="H306" s="3" t="s">
        <v>1501</v>
      </c>
      <c r="I306" s="4"/>
      <c r="J306" s="4"/>
      <c r="K306" s="4"/>
      <c r="L306" s="4"/>
    </row>
    <row r="307" spans="1:12" x14ac:dyDescent="0.25">
      <c r="A307" s="2" t="str">
        <f>HYPERLINK("https://www.list-org.com/company/13743525","https://www.list-org.com/company/13743525")</f>
        <v>https://www.list-org.com/company/13743525</v>
      </c>
      <c r="B307" s="3" t="s">
        <v>1502</v>
      </c>
      <c r="C307" s="3" t="s">
        <v>1503</v>
      </c>
      <c r="D307" s="3" t="s">
        <v>14</v>
      </c>
      <c r="E307" s="3" t="s">
        <v>1504</v>
      </c>
      <c r="F307" s="3" t="s">
        <v>1505</v>
      </c>
      <c r="G307" s="3"/>
      <c r="H307" s="3" t="s">
        <v>1506</v>
      </c>
      <c r="I307" s="4"/>
      <c r="J307" s="4"/>
      <c r="K307" s="4"/>
      <c r="L307" s="4"/>
    </row>
    <row r="308" spans="1:12" x14ac:dyDescent="0.25">
      <c r="A308" s="2" t="str">
        <f>HYPERLINK("https://www.list-org.com/company/13743528","https://www.list-org.com/company/13743528")</f>
        <v>https://www.list-org.com/company/13743528</v>
      </c>
      <c r="B308" s="3" t="s">
        <v>1507</v>
      </c>
      <c r="C308" s="3" t="s">
        <v>1508</v>
      </c>
      <c r="D308" s="3" t="s">
        <v>14</v>
      </c>
      <c r="E308" s="3" t="s">
        <v>1509</v>
      </c>
      <c r="F308" s="3" t="s">
        <v>1510</v>
      </c>
      <c r="G308" s="3"/>
      <c r="H308" s="3" t="s">
        <v>1511</v>
      </c>
      <c r="I308" s="4"/>
      <c r="J308" s="4"/>
      <c r="K308" s="4"/>
      <c r="L308" s="4"/>
    </row>
    <row r="309" spans="1:12" x14ac:dyDescent="0.25">
      <c r="A309" s="2" t="str">
        <f>HYPERLINK("https://www.list-org.com/company/13743738","https://www.list-org.com/company/13743738")</f>
        <v>https://www.list-org.com/company/13743738</v>
      </c>
      <c r="B309" s="3" t="s">
        <v>1512</v>
      </c>
      <c r="C309" s="3" t="s">
        <v>1513</v>
      </c>
      <c r="D309" s="3" t="s">
        <v>14</v>
      </c>
      <c r="E309" s="3" t="s">
        <v>1514</v>
      </c>
      <c r="F309" s="3" t="s">
        <v>1515</v>
      </c>
      <c r="G309" s="3"/>
      <c r="H309" s="3" t="s">
        <v>1516</v>
      </c>
      <c r="I309" s="4"/>
      <c r="J309" s="4"/>
      <c r="K309" s="4"/>
      <c r="L309" s="4"/>
    </row>
    <row r="310" spans="1:12" x14ac:dyDescent="0.25">
      <c r="A310" s="2" t="str">
        <f>HYPERLINK("https://www.list-org.com/company/13743892","https://www.list-org.com/company/13743892")</f>
        <v>https://www.list-org.com/company/13743892</v>
      </c>
      <c r="B310" s="3" t="s">
        <v>1517</v>
      </c>
      <c r="C310" s="3" t="s">
        <v>1518</v>
      </c>
      <c r="D310" s="3" t="s">
        <v>14</v>
      </c>
      <c r="E310" s="3" t="s">
        <v>1519</v>
      </c>
      <c r="F310" s="3" t="s">
        <v>1520</v>
      </c>
      <c r="G310" s="3"/>
      <c r="H310" s="3" t="s">
        <v>1521</v>
      </c>
      <c r="I310" s="4"/>
      <c r="J310" s="4"/>
      <c r="K310" s="4"/>
      <c r="L310" s="4"/>
    </row>
    <row r="311" spans="1:12" x14ac:dyDescent="0.25">
      <c r="A311" s="2" t="str">
        <f>HYPERLINK("https://www.list-org.com/company/13744022","https://www.list-org.com/company/13744022")</f>
        <v>https://www.list-org.com/company/13744022</v>
      </c>
      <c r="B311" s="3" t="s">
        <v>1522</v>
      </c>
      <c r="C311" s="3" t="s">
        <v>1523</v>
      </c>
      <c r="D311" s="3" t="s">
        <v>14</v>
      </c>
      <c r="E311" s="3" t="s">
        <v>1524</v>
      </c>
      <c r="F311" s="3" t="s">
        <v>1525</v>
      </c>
      <c r="G311" s="3"/>
      <c r="H311" s="3" t="s">
        <v>1526</v>
      </c>
      <c r="I311" s="4"/>
      <c r="J311" s="4"/>
      <c r="K311" s="4"/>
      <c r="L311" s="4"/>
    </row>
    <row r="312" spans="1:12" x14ac:dyDescent="0.25">
      <c r="A312" s="2" t="str">
        <f>HYPERLINK("https://www.list-org.com/company/13744084","https://www.list-org.com/company/13744084")</f>
        <v>https://www.list-org.com/company/13744084</v>
      </c>
      <c r="B312" s="3" t="s">
        <v>1527</v>
      </c>
      <c r="C312" s="3" t="s">
        <v>1528</v>
      </c>
      <c r="D312" s="3" t="s">
        <v>14</v>
      </c>
      <c r="E312" s="3" t="s">
        <v>1529</v>
      </c>
      <c r="F312" s="3" t="s">
        <v>1530</v>
      </c>
      <c r="G312" s="3"/>
      <c r="H312" s="3" t="s">
        <v>1531</v>
      </c>
      <c r="I312" s="4"/>
      <c r="J312" s="4"/>
      <c r="K312" s="4"/>
      <c r="L312" s="4"/>
    </row>
    <row r="313" spans="1:12" x14ac:dyDescent="0.25">
      <c r="A313" s="2" t="str">
        <f>HYPERLINK("https://www.list-org.com/company/13744170","https://www.list-org.com/company/13744170")</f>
        <v>https://www.list-org.com/company/13744170</v>
      </c>
      <c r="B313" s="3" t="s">
        <v>1532</v>
      </c>
      <c r="C313" s="3" t="s">
        <v>1533</v>
      </c>
      <c r="D313" s="3" t="s">
        <v>14</v>
      </c>
      <c r="E313" s="3" t="s">
        <v>1534</v>
      </c>
      <c r="F313" s="3" t="s">
        <v>1535</v>
      </c>
      <c r="G313" s="3"/>
      <c r="H313" s="3" t="s">
        <v>1536</v>
      </c>
      <c r="I313" s="4"/>
      <c r="J313" s="4"/>
      <c r="K313" s="4"/>
      <c r="L313" s="4"/>
    </row>
    <row r="314" spans="1:12" x14ac:dyDescent="0.25">
      <c r="A314" s="2" t="str">
        <f>HYPERLINK("https://www.list-org.com/company/13744261","https://www.list-org.com/company/13744261")</f>
        <v>https://www.list-org.com/company/13744261</v>
      </c>
      <c r="B314" s="3" t="s">
        <v>1537</v>
      </c>
      <c r="C314" s="3" t="s">
        <v>1538</v>
      </c>
      <c r="D314" s="3" t="s">
        <v>14</v>
      </c>
      <c r="E314" s="3" t="s">
        <v>1539</v>
      </c>
      <c r="F314" s="3" t="s">
        <v>1540</v>
      </c>
      <c r="G314" s="3"/>
      <c r="H314" s="3" t="s">
        <v>1266</v>
      </c>
      <c r="I314" s="4"/>
      <c r="J314" s="4"/>
      <c r="K314" s="4"/>
      <c r="L314" s="4"/>
    </row>
    <row r="315" spans="1:12" x14ac:dyDescent="0.25">
      <c r="A315" s="2" t="str">
        <f>HYPERLINK("https://www.list-org.com/company/13744272","https://www.list-org.com/company/13744272")</f>
        <v>https://www.list-org.com/company/13744272</v>
      </c>
      <c r="B315" s="3" t="s">
        <v>1541</v>
      </c>
      <c r="C315" s="3" t="s">
        <v>1542</v>
      </c>
      <c r="D315" s="3" t="s">
        <v>14</v>
      </c>
      <c r="E315" s="3" t="s">
        <v>1543</v>
      </c>
      <c r="F315" s="3" t="s">
        <v>1544</v>
      </c>
      <c r="G315" s="3"/>
      <c r="H315" s="3" t="s">
        <v>1545</v>
      </c>
      <c r="I315" s="4"/>
      <c r="J315" s="4"/>
      <c r="K315" s="4"/>
      <c r="L315" s="4"/>
    </row>
    <row r="316" spans="1:12" x14ac:dyDescent="0.25">
      <c r="A316" s="2" t="str">
        <f>HYPERLINK("https://www.list-org.com/company/13744275","https://www.list-org.com/company/13744275")</f>
        <v>https://www.list-org.com/company/13744275</v>
      </c>
      <c r="B316" s="3" t="s">
        <v>1546</v>
      </c>
      <c r="C316" s="3" t="s">
        <v>1547</v>
      </c>
      <c r="D316" s="3" t="s">
        <v>14</v>
      </c>
      <c r="E316" s="3" t="s">
        <v>1548</v>
      </c>
      <c r="F316" s="3" t="s">
        <v>1549</v>
      </c>
      <c r="G316" s="3"/>
      <c r="H316" s="3" t="s">
        <v>1550</v>
      </c>
      <c r="I316" s="4"/>
      <c r="J316" s="4"/>
      <c r="K316" s="4"/>
      <c r="L316" s="4"/>
    </row>
    <row r="317" spans="1:12" x14ac:dyDescent="0.25">
      <c r="A317" s="2" t="str">
        <f>HYPERLINK("https://www.list-org.com/company/13744370","https://www.list-org.com/company/13744370")</f>
        <v>https://www.list-org.com/company/13744370</v>
      </c>
      <c r="B317" s="3" t="s">
        <v>1551</v>
      </c>
      <c r="C317" s="3" t="s">
        <v>1552</v>
      </c>
      <c r="D317" s="3" t="s">
        <v>14</v>
      </c>
      <c r="E317" s="3" t="s">
        <v>1553</v>
      </c>
      <c r="F317" s="3" t="s">
        <v>1554</v>
      </c>
      <c r="G317" s="3"/>
      <c r="H317" s="3" t="s">
        <v>1555</v>
      </c>
      <c r="I317" s="4"/>
      <c r="J317" s="4"/>
      <c r="K317" s="4"/>
      <c r="L317" s="4"/>
    </row>
    <row r="318" spans="1:12" x14ac:dyDescent="0.25">
      <c r="A318" s="2" t="str">
        <f>HYPERLINK("https://www.list-org.com/company/13744461","https://www.list-org.com/company/13744461")</f>
        <v>https://www.list-org.com/company/13744461</v>
      </c>
      <c r="B318" s="3" t="s">
        <v>1556</v>
      </c>
      <c r="C318" s="3" t="s">
        <v>1557</v>
      </c>
      <c r="D318" s="3" t="s">
        <v>14</v>
      </c>
      <c r="E318" s="3" t="s">
        <v>1558</v>
      </c>
      <c r="F318" s="3" t="s">
        <v>1559</v>
      </c>
      <c r="G318" s="3"/>
      <c r="H318" s="3" t="s">
        <v>1560</v>
      </c>
      <c r="I318" s="4"/>
      <c r="J318" s="4"/>
      <c r="K318" s="4"/>
      <c r="L318" s="4"/>
    </row>
    <row r="319" spans="1:12" x14ac:dyDescent="0.25">
      <c r="A319" s="2" t="str">
        <f>HYPERLINK("https://www.list-org.com/company/13744721","https://www.list-org.com/company/13744721")</f>
        <v>https://www.list-org.com/company/13744721</v>
      </c>
      <c r="B319" s="3" t="s">
        <v>1561</v>
      </c>
      <c r="C319" s="3" t="s">
        <v>1562</v>
      </c>
      <c r="D319" s="3" t="s">
        <v>14</v>
      </c>
      <c r="E319" s="3" t="s">
        <v>1563</v>
      </c>
      <c r="F319" s="3" t="s">
        <v>1564</v>
      </c>
      <c r="G319" s="3"/>
      <c r="H319" s="3" t="s">
        <v>1565</v>
      </c>
      <c r="I319" s="4"/>
      <c r="J319" s="4"/>
      <c r="K319" s="4"/>
      <c r="L319" s="4"/>
    </row>
    <row r="320" spans="1:12" x14ac:dyDescent="0.25">
      <c r="A320" s="2" t="str">
        <f>HYPERLINK("https://www.list-org.com/company/13744796","https://www.list-org.com/company/13744796")</f>
        <v>https://www.list-org.com/company/13744796</v>
      </c>
      <c r="B320" s="3" t="s">
        <v>1566</v>
      </c>
      <c r="C320" s="3" t="s">
        <v>1567</v>
      </c>
      <c r="D320" s="3" t="s">
        <v>14</v>
      </c>
      <c r="E320" s="3" t="s">
        <v>1568</v>
      </c>
      <c r="F320" s="3" t="s">
        <v>1569</v>
      </c>
      <c r="G320" s="3"/>
      <c r="H320" s="3" t="s">
        <v>1570</v>
      </c>
      <c r="I320" s="4"/>
      <c r="J320" s="4"/>
      <c r="K320" s="4"/>
      <c r="L320" s="4"/>
    </row>
    <row r="321" spans="1:12" x14ac:dyDescent="0.25">
      <c r="A321" s="2" t="str">
        <f>HYPERLINK("https://www.list-org.com/company/13744892","https://www.list-org.com/company/13744892")</f>
        <v>https://www.list-org.com/company/13744892</v>
      </c>
      <c r="B321" s="3" t="s">
        <v>1571</v>
      </c>
      <c r="C321" s="3" t="s">
        <v>1572</v>
      </c>
      <c r="D321" s="3" t="s">
        <v>14</v>
      </c>
      <c r="E321" s="3" t="s">
        <v>1573</v>
      </c>
      <c r="F321" s="3" t="s">
        <v>1574</v>
      </c>
      <c r="G321" s="3"/>
      <c r="H321" s="3" t="s">
        <v>1575</v>
      </c>
      <c r="I321" s="4"/>
      <c r="J321" s="4"/>
      <c r="K321" s="4"/>
      <c r="L321" s="4"/>
    </row>
    <row r="322" spans="1:12" x14ac:dyDescent="0.25">
      <c r="A322" s="2" t="str">
        <f>HYPERLINK("https://www.list-org.com/company/13745603","https://www.list-org.com/company/13745603")</f>
        <v>https://www.list-org.com/company/13745603</v>
      </c>
      <c r="B322" s="3" t="s">
        <v>1576</v>
      </c>
      <c r="C322" s="3" t="s">
        <v>1577</v>
      </c>
      <c r="D322" s="3" t="s">
        <v>14</v>
      </c>
      <c r="E322" s="3" t="s">
        <v>1578</v>
      </c>
      <c r="F322" s="3" t="s">
        <v>1579</v>
      </c>
      <c r="G322" s="3"/>
      <c r="H322" s="3" t="s">
        <v>96</v>
      </c>
      <c r="I322" s="4"/>
      <c r="J322" s="4"/>
      <c r="K322" s="4"/>
      <c r="L322" s="4"/>
    </row>
    <row r="323" spans="1:12" x14ac:dyDescent="0.25">
      <c r="A323" s="2" t="str">
        <f>HYPERLINK("https://www.list-org.com/company/13745610","https://www.list-org.com/company/13745610")</f>
        <v>https://www.list-org.com/company/13745610</v>
      </c>
      <c r="B323" s="3" t="s">
        <v>1580</v>
      </c>
      <c r="C323" s="3" t="s">
        <v>1581</v>
      </c>
      <c r="D323" s="3" t="s">
        <v>14</v>
      </c>
      <c r="E323" s="3" t="s">
        <v>1582</v>
      </c>
      <c r="F323" s="3" t="s">
        <v>1583</v>
      </c>
      <c r="G323" s="3"/>
      <c r="H323" s="3" t="s">
        <v>1584</v>
      </c>
      <c r="I323" s="4"/>
      <c r="J323" s="4"/>
      <c r="K323" s="4"/>
      <c r="L323" s="4"/>
    </row>
    <row r="324" spans="1:12" x14ac:dyDescent="0.25">
      <c r="A324" s="2" t="str">
        <f>HYPERLINK("https://www.list-org.com/company/13745642","https://www.list-org.com/company/13745642")</f>
        <v>https://www.list-org.com/company/13745642</v>
      </c>
      <c r="B324" s="3" t="s">
        <v>1585</v>
      </c>
      <c r="C324" s="3" t="s">
        <v>1586</v>
      </c>
      <c r="D324" s="3" t="s">
        <v>14</v>
      </c>
      <c r="E324" s="3" t="s">
        <v>1587</v>
      </c>
      <c r="F324" s="3" t="s">
        <v>1588</v>
      </c>
      <c r="G324" s="3"/>
      <c r="H324" s="3" t="s">
        <v>1589</v>
      </c>
      <c r="I324" s="4"/>
      <c r="J324" s="4"/>
      <c r="K324" s="4"/>
      <c r="L324" s="4"/>
    </row>
    <row r="325" spans="1:12" x14ac:dyDescent="0.25">
      <c r="A325" s="2" t="str">
        <f>HYPERLINK("https://www.list-org.com/company/13745944","https://www.list-org.com/company/13745944")</f>
        <v>https://www.list-org.com/company/13745944</v>
      </c>
      <c r="B325" s="3" t="s">
        <v>1590</v>
      </c>
      <c r="C325" s="3" t="s">
        <v>1591</v>
      </c>
      <c r="D325" s="3" t="s">
        <v>14</v>
      </c>
      <c r="E325" s="3" t="s">
        <v>1592</v>
      </c>
      <c r="F325" s="3" t="s">
        <v>1593</v>
      </c>
      <c r="G325" s="3"/>
      <c r="H325" s="3" t="s">
        <v>1594</v>
      </c>
      <c r="I325" s="4"/>
      <c r="J325" s="4"/>
      <c r="K325" s="4"/>
      <c r="L325" s="4"/>
    </row>
    <row r="326" spans="1:12" x14ac:dyDescent="0.25">
      <c r="A326" s="2" t="str">
        <f>HYPERLINK("https://www.list-org.com/company/13746030","https://www.list-org.com/company/13746030")</f>
        <v>https://www.list-org.com/company/13746030</v>
      </c>
      <c r="B326" s="3" t="s">
        <v>1595</v>
      </c>
      <c r="C326" s="3" t="s">
        <v>1596</v>
      </c>
      <c r="D326" s="3" t="s">
        <v>14</v>
      </c>
      <c r="E326" s="3" t="s">
        <v>1597</v>
      </c>
      <c r="F326" s="3" t="s">
        <v>1598</v>
      </c>
      <c r="G326" s="3"/>
      <c r="H326" s="3" t="s">
        <v>1599</v>
      </c>
      <c r="I326" s="4"/>
      <c r="J326" s="4"/>
      <c r="K326" s="4"/>
      <c r="L326" s="4"/>
    </row>
    <row r="327" spans="1:12" x14ac:dyDescent="0.25">
      <c r="A327" s="2" t="str">
        <f>HYPERLINK("https://www.list-org.com/company/13746054","https://www.list-org.com/company/13746054")</f>
        <v>https://www.list-org.com/company/13746054</v>
      </c>
      <c r="B327" s="3" t="s">
        <v>1600</v>
      </c>
      <c r="C327" s="3" t="s">
        <v>1601</v>
      </c>
      <c r="D327" s="3" t="s">
        <v>14</v>
      </c>
      <c r="E327" s="3" t="s">
        <v>1602</v>
      </c>
      <c r="F327" s="3" t="s">
        <v>1603</v>
      </c>
      <c r="G327" s="3"/>
      <c r="H327" s="3" t="s">
        <v>1604</v>
      </c>
      <c r="I327" s="4"/>
      <c r="J327" s="4"/>
      <c r="K327" s="4"/>
      <c r="L327" s="4"/>
    </row>
    <row r="328" spans="1:12" x14ac:dyDescent="0.25">
      <c r="A328" s="2" t="str">
        <f>HYPERLINK("https://www.list-org.com/company/13746593","https://www.list-org.com/company/13746593")</f>
        <v>https://www.list-org.com/company/13746593</v>
      </c>
      <c r="B328" s="3" t="s">
        <v>1605</v>
      </c>
      <c r="C328" s="3" t="s">
        <v>1606</v>
      </c>
      <c r="D328" s="3" t="s">
        <v>14</v>
      </c>
      <c r="E328" s="3" t="s">
        <v>1607</v>
      </c>
      <c r="F328" s="3" t="s">
        <v>1608</v>
      </c>
      <c r="G328" s="3"/>
      <c r="H328" s="3" t="s">
        <v>1609</v>
      </c>
      <c r="I328" s="4">
        <v>1</v>
      </c>
      <c r="J328" s="4"/>
      <c r="K328" s="4">
        <v>-2</v>
      </c>
      <c r="L328" s="4">
        <v>-2</v>
      </c>
    </row>
    <row r="329" spans="1:12" x14ac:dyDescent="0.25">
      <c r="A329" s="2" t="str">
        <f>HYPERLINK("https://www.list-org.com/company/13746654","https://www.list-org.com/company/13746654")</f>
        <v>https://www.list-org.com/company/13746654</v>
      </c>
      <c r="B329" s="3" t="s">
        <v>1610</v>
      </c>
      <c r="C329" s="3" t="s">
        <v>1611</v>
      </c>
      <c r="D329" s="3" t="s">
        <v>14</v>
      </c>
      <c r="E329" s="3" t="s">
        <v>1612</v>
      </c>
      <c r="F329" s="3" t="s">
        <v>1613</v>
      </c>
      <c r="G329" s="3"/>
      <c r="H329" s="3" t="s">
        <v>1614</v>
      </c>
      <c r="I329" s="4"/>
      <c r="J329" s="4"/>
      <c r="K329" s="4"/>
      <c r="L329" s="4"/>
    </row>
    <row r="330" spans="1:12" x14ac:dyDescent="0.25">
      <c r="A330" s="2" t="str">
        <f>HYPERLINK("https://www.list-org.com/company/13746880","https://www.list-org.com/company/13746880")</f>
        <v>https://www.list-org.com/company/13746880</v>
      </c>
      <c r="B330" s="3" t="s">
        <v>1615</v>
      </c>
      <c r="C330" s="3" t="s">
        <v>1616</v>
      </c>
      <c r="D330" s="3" t="s">
        <v>14</v>
      </c>
      <c r="E330" s="3" t="s">
        <v>1617</v>
      </c>
      <c r="F330" s="3" t="s">
        <v>1618</v>
      </c>
      <c r="G330" s="3"/>
      <c r="H330" s="3" t="s">
        <v>1619</v>
      </c>
      <c r="I330" s="4"/>
      <c r="J330" s="4"/>
      <c r="K330" s="4"/>
      <c r="L330" s="4"/>
    </row>
    <row r="331" spans="1:12" x14ac:dyDescent="0.25">
      <c r="A331" s="2" t="str">
        <f>HYPERLINK("https://www.list-org.com/company/13747036","https://www.list-org.com/company/13747036")</f>
        <v>https://www.list-org.com/company/13747036</v>
      </c>
      <c r="B331" s="3" t="s">
        <v>1620</v>
      </c>
      <c r="C331" s="3" t="s">
        <v>1621</v>
      </c>
      <c r="D331" s="3" t="s">
        <v>14</v>
      </c>
      <c r="E331" s="3" t="s">
        <v>1622</v>
      </c>
      <c r="F331" s="3" t="s">
        <v>1623</v>
      </c>
      <c r="G331" s="3"/>
      <c r="H331" s="3" t="s">
        <v>1624</v>
      </c>
      <c r="I331" s="4"/>
      <c r="J331" s="4"/>
      <c r="K331" s="4"/>
      <c r="L331" s="4"/>
    </row>
    <row r="332" spans="1:12" x14ac:dyDescent="0.25">
      <c r="A332" s="2" t="str">
        <f>HYPERLINK("https://www.list-org.com/company/13747109","https://www.list-org.com/company/13747109")</f>
        <v>https://www.list-org.com/company/13747109</v>
      </c>
      <c r="B332" s="3" t="s">
        <v>1625</v>
      </c>
      <c r="C332" s="3" t="s">
        <v>1626</v>
      </c>
      <c r="D332" s="3" t="s">
        <v>14</v>
      </c>
      <c r="E332" s="3" t="s">
        <v>1627</v>
      </c>
      <c r="F332" s="3" t="s">
        <v>1628</v>
      </c>
      <c r="G332" s="3"/>
      <c r="H332" s="3" t="s">
        <v>1629</v>
      </c>
      <c r="I332" s="4"/>
      <c r="J332" s="4"/>
      <c r="K332" s="4"/>
      <c r="L332" s="4"/>
    </row>
    <row r="333" spans="1:12" x14ac:dyDescent="0.25">
      <c r="A333" s="2" t="str">
        <f>HYPERLINK("https://www.list-org.com/company/13747227","https://www.list-org.com/company/13747227")</f>
        <v>https://www.list-org.com/company/13747227</v>
      </c>
      <c r="B333" s="3" t="s">
        <v>1630</v>
      </c>
      <c r="C333" s="3" t="s">
        <v>1631</v>
      </c>
      <c r="D333" s="3" t="s">
        <v>14</v>
      </c>
      <c r="E333" s="3" t="s">
        <v>1632</v>
      </c>
      <c r="F333" s="3" t="s">
        <v>1633</v>
      </c>
      <c r="G333" s="3"/>
      <c r="H333" s="3" t="s">
        <v>1634</v>
      </c>
      <c r="I333" s="4"/>
      <c r="J333" s="4"/>
      <c r="K333" s="4"/>
      <c r="L333" s="4"/>
    </row>
    <row r="334" spans="1:12" x14ac:dyDescent="0.25">
      <c r="A334" s="2" t="str">
        <f>HYPERLINK("https://www.list-org.com/company/13747290","https://www.list-org.com/company/13747290")</f>
        <v>https://www.list-org.com/company/13747290</v>
      </c>
      <c r="B334" s="3" t="s">
        <v>1635</v>
      </c>
      <c r="C334" s="3" t="s">
        <v>1636</v>
      </c>
      <c r="D334" s="3" t="s">
        <v>14</v>
      </c>
      <c r="E334" s="3" t="s">
        <v>1637</v>
      </c>
      <c r="F334" s="3" t="s">
        <v>1638</v>
      </c>
      <c r="G334" s="3"/>
      <c r="H334" s="3" t="s">
        <v>1113</v>
      </c>
      <c r="I334" s="4"/>
      <c r="J334" s="4"/>
      <c r="K334" s="4"/>
      <c r="L334" s="4"/>
    </row>
    <row r="335" spans="1:12" x14ac:dyDescent="0.25">
      <c r="A335" s="2" t="str">
        <f>HYPERLINK("https://www.list-org.com/company/13747393","https://www.list-org.com/company/13747393")</f>
        <v>https://www.list-org.com/company/13747393</v>
      </c>
      <c r="B335" s="3" t="s">
        <v>1639</v>
      </c>
      <c r="C335" s="3" t="s">
        <v>1640</v>
      </c>
      <c r="D335" s="3" t="s">
        <v>14</v>
      </c>
      <c r="E335" s="3" t="s">
        <v>1641</v>
      </c>
      <c r="F335" s="3" t="s">
        <v>1642</v>
      </c>
      <c r="G335" s="3"/>
      <c r="H335" s="3" t="s">
        <v>1643</v>
      </c>
      <c r="I335" s="4"/>
      <c r="J335" s="4"/>
      <c r="K335" s="4"/>
      <c r="L335" s="4"/>
    </row>
    <row r="336" spans="1:12" x14ac:dyDescent="0.25">
      <c r="A336" s="2" t="str">
        <f>HYPERLINK("https://www.list-org.com/company/13747534","https://www.list-org.com/company/13747534")</f>
        <v>https://www.list-org.com/company/13747534</v>
      </c>
      <c r="B336" s="3" t="s">
        <v>1644</v>
      </c>
      <c r="C336" s="3" t="s">
        <v>1645</v>
      </c>
      <c r="D336" s="3" t="s">
        <v>14</v>
      </c>
      <c r="E336" s="3" t="s">
        <v>1646</v>
      </c>
      <c r="F336" s="3" t="s">
        <v>1647</v>
      </c>
      <c r="G336" s="3"/>
      <c r="H336" s="3" t="s">
        <v>1648</v>
      </c>
      <c r="I336" s="4"/>
      <c r="J336" s="4"/>
      <c r="K336" s="4"/>
      <c r="L336" s="4"/>
    </row>
    <row r="337" spans="1:12" x14ac:dyDescent="0.25">
      <c r="A337" s="2" t="str">
        <f>HYPERLINK("https://www.list-org.com/company/13747640","https://www.list-org.com/company/13747640")</f>
        <v>https://www.list-org.com/company/13747640</v>
      </c>
      <c r="B337" s="3" t="s">
        <v>1649</v>
      </c>
      <c r="C337" s="3" t="s">
        <v>1650</v>
      </c>
      <c r="D337" s="3" t="s">
        <v>14</v>
      </c>
      <c r="E337" s="3" t="s">
        <v>1651</v>
      </c>
      <c r="F337" s="3" t="s">
        <v>1652</v>
      </c>
      <c r="G337" s="3"/>
      <c r="H337" s="3" t="s">
        <v>1653</v>
      </c>
      <c r="I337" s="4"/>
      <c r="J337" s="4">
        <v>560</v>
      </c>
      <c r="K337" s="4">
        <v>547</v>
      </c>
      <c r="L337" s="4">
        <v>547</v>
      </c>
    </row>
    <row r="338" spans="1:12" x14ac:dyDescent="0.25">
      <c r="A338" s="2" t="str">
        <f>HYPERLINK("https://www.list-org.com/company/13747700","https://www.list-org.com/company/13747700")</f>
        <v>https://www.list-org.com/company/13747700</v>
      </c>
      <c r="B338" s="3" t="s">
        <v>1654</v>
      </c>
      <c r="C338" s="3" t="s">
        <v>1655</v>
      </c>
      <c r="D338" s="3" t="s">
        <v>14</v>
      </c>
      <c r="E338" s="3" t="s">
        <v>1656</v>
      </c>
      <c r="F338" s="3" t="s">
        <v>1657</v>
      </c>
      <c r="G338" s="3"/>
      <c r="H338" s="3" t="s">
        <v>1491</v>
      </c>
      <c r="I338" s="4"/>
      <c r="J338" s="4"/>
      <c r="K338" s="4"/>
      <c r="L338" s="4"/>
    </row>
    <row r="339" spans="1:12" x14ac:dyDescent="0.25">
      <c r="A339" s="2" t="str">
        <f>HYPERLINK("https://www.list-org.com/company/13747704","https://www.list-org.com/company/13747704")</f>
        <v>https://www.list-org.com/company/13747704</v>
      </c>
      <c r="B339" s="3" t="s">
        <v>1658</v>
      </c>
      <c r="C339" s="3" t="s">
        <v>1659</v>
      </c>
      <c r="D339" s="3" t="s">
        <v>14</v>
      </c>
      <c r="E339" s="3" t="s">
        <v>1660</v>
      </c>
      <c r="F339" s="3" t="s">
        <v>1661</v>
      </c>
      <c r="G339" s="3"/>
      <c r="H339" s="3" t="s">
        <v>1662</v>
      </c>
      <c r="I339" s="4"/>
      <c r="J339" s="4"/>
      <c r="K339" s="4"/>
      <c r="L339" s="4"/>
    </row>
    <row r="340" spans="1:12" x14ac:dyDescent="0.25">
      <c r="A340" s="2" t="str">
        <f>HYPERLINK("https://www.list-org.com/company/13747883","https://www.list-org.com/company/13747883")</f>
        <v>https://www.list-org.com/company/13747883</v>
      </c>
      <c r="B340" s="3" t="s">
        <v>1663</v>
      </c>
      <c r="C340" s="3" t="s">
        <v>1664</v>
      </c>
      <c r="D340" s="3" t="s">
        <v>14</v>
      </c>
      <c r="E340" s="3" t="s">
        <v>1665</v>
      </c>
      <c r="F340" s="3" t="s">
        <v>1666</v>
      </c>
      <c r="G340" s="3"/>
      <c r="H340" s="3" t="s">
        <v>1667</v>
      </c>
      <c r="I340" s="4"/>
      <c r="J340" s="4"/>
      <c r="K340" s="4"/>
      <c r="L340" s="4"/>
    </row>
    <row r="341" spans="1:12" x14ac:dyDescent="0.25">
      <c r="A341" s="2" t="str">
        <f>HYPERLINK("https://www.list-org.com/company/13748073","https://www.list-org.com/company/13748073")</f>
        <v>https://www.list-org.com/company/13748073</v>
      </c>
      <c r="B341" s="3" t="s">
        <v>1668</v>
      </c>
      <c r="C341" s="3" t="s">
        <v>1669</v>
      </c>
      <c r="D341" s="3" t="s">
        <v>14</v>
      </c>
      <c r="E341" s="3" t="s">
        <v>1670</v>
      </c>
      <c r="F341" s="3" t="s">
        <v>1671</v>
      </c>
      <c r="G341" s="3"/>
      <c r="H341" s="3" t="s">
        <v>1672</v>
      </c>
      <c r="I341" s="4"/>
      <c r="J341" s="4"/>
      <c r="K341" s="4"/>
      <c r="L341" s="4"/>
    </row>
    <row r="342" spans="1:12" x14ac:dyDescent="0.25">
      <c r="A342" s="2" t="str">
        <f>HYPERLINK("https://www.list-org.com/company/13748079","https://www.list-org.com/company/13748079")</f>
        <v>https://www.list-org.com/company/13748079</v>
      </c>
      <c r="B342" s="3" t="s">
        <v>1673</v>
      </c>
      <c r="C342" s="3" t="s">
        <v>1674</v>
      </c>
      <c r="D342" s="3" t="s">
        <v>14</v>
      </c>
      <c r="E342" s="3" t="s">
        <v>1675</v>
      </c>
      <c r="F342" s="3" t="s">
        <v>1676</v>
      </c>
      <c r="G342" s="3"/>
      <c r="H342" s="3" t="s">
        <v>1677</v>
      </c>
      <c r="I342" s="4"/>
      <c r="J342" s="4"/>
      <c r="K342" s="4"/>
      <c r="L342" s="4"/>
    </row>
    <row r="343" spans="1:12" x14ac:dyDescent="0.25">
      <c r="A343" s="2" t="str">
        <f>HYPERLINK("https://www.list-org.com/company/13748306","https://www.list-org.com/company/13748306")</f>
        <v>https://www.list-org.com/company/13748306</v>
      </c>
      <c r="B343" s="3" t="s">
        <v>1678</v>
      </c>
      <c r="C343" s="3" t="s">
        <v>1679</v>
      </c>
      <c r="D343" s="3" t="s">
        <v>14</v>
      </c>
      <c r="E343" s="3" t="s">
        <v>1680</v>
      </c>
      <c r="F343" s="3" t="s">
        <v>1681</v>
      </c>
      <c r="G343" s="3"/>
      <c r="H343" s="3" t="s">
        <v>1682</v>
      </c>
      <c r="I343" s="4"/>
      <c r="J343" s="4"/>
      <c r="K343" s="4"/>
      <c r="L343" s="4"/>
    </row>
    <row r="344" spans="1:12" x14ac:dyDescent="0.25">
      <c r="A344" s="2" t="str">
        <f>HYPERLINK("https://www.list-org.com/company/13748353","https://www.list-org.com/company/13748353")</f>
        <v>https://www.list-org.com/company/13748353</v>
      </c>
      <c r="B344" s="3" t="s">
        <v>1683</v>
      </c>
      <c r="C344" s="3" t="s">
        <v>1684</v>
      </c>
      <c r="D344" s="3" t="s">
        <v>14</v>
      </c>
      <c r="E344" s="3" t="s">
        <v>1685</v>
      </c>
      <c r="F344" s="3" t="s">
        <v>1686</v>
      </c>
      <c r="G344" s="3"/>
      <c r="H344" s="3" t="s">
        <v>1687</v>
      </c>
      <c r="I344" s="4"/>
      <c r="J344" s="4"/>
      <c r="K344" s="4"/>
      <c r="L344" s="4"/>
    </row>
    <row r="345" spans="1:12" x14ac:dyDescent="0.25">
      <c r="A345" s="2" t="str">
        <f>HYPERLINK("https://www.list-org.com/company/13748873","https://www.list-org.com/company/13748873")</f>
        <v>https://www.list-org.com/company/13748873</v>
      </c>
      <c r="B345" s="3" t="s">
        <v>1688</v>
      </c>
      <c r="C345" s="3" t="s">
        <v>1689</v>
      </c>
      <c r="D345" s="3" t="s">
        <v>14</v>
      </c>
      <c r="E345" s="3" t="s">
        <v>1690</v>
      </c>
      <c r="F345" s="3" t="s">
        <v>1691</v>
      </c>
      <c r="G345" s="3"/>
      <c r="H345" s="3" t="s">
        <v>91</v>
      </c>
      <c r="I345" s="4"/>
      <c r="J345" s="4"/>
      <c r="K345" s="4"/>
      <c r="L345" s="4"/>
    </row>
    <row r="346" spans="1:12" x14ac:dyDescent="0.25">
      <c r="A346" s="2" t="str">
        <f>HYPERLINK("https://www.list-org.com/company/13748885","https://www.list-org.com/company/13748885")</f>
        <v>https://www.list-org.com/company/13748885</v>
      </c>
      <c r="B346" s="3" t="s">
        <v>1692</v>
      </c>
      <c r="C346" s="3" t="s">
        <v>1693</v>
      </c>
      <c r="D346" s="3" t="s">
        <v>14</v>
      </c>
      <c r="E346" s="3" t="s">
        <v>1694</v>
      </c>
      <c r="F346" s="3" t="s">
        <v>1695</v>
      </c>
      <c r="G346" s="3"/>
      <c r="H346" s="3" t="s">
        <v>1696</v>
      </c>
      <c r="I346" s="4">
        <v>23</v>
      </c>
      <c r="J346" s="4">
        <v>22799</v>
      </c>
      <c r="K346" s="4">
        <v>-24396</v>
      </c>
      <c r="L346" s="4">
        <v>15531</v>
      </c>
    </row>
    <row r="347" spans="1:12" x14ac:dyDescent="0.25">
      <c r="A347" s="2" t="str">
        <f>HYPERLINK("https://www.list-org.com/company/13748956","https://www.list-org.com/company/13748956")</f>
        <v>https://www.list-org.com/company/13748956</v>
      </c>
      <c r="B347" s="3" t="s">
        <v>1697</v>
      </c>
      <c r="C347" s="3" t="s">
        <v>1698</v>
      </c>
      <c r="D347" s="3" t="s">
        <v>14</v>
      </c>
      <c r="E347" s="3" t="s">
        <v>1699</v>
      </c>
      <c r="F347" s="3" t="s">
        <v>1700</v>
      </c>
      <c r="G347" s="3"/>
      <c r="H347" s="3" t="s">
        <v>1701</v>
      </c>
      <c r="I347" s="4"/>
      <c r="J347" s="4"/>
      <c r="K347" s="4"/>
      <c r="L347" s="4"/>
    </row>
    <row r="348" spans="1:12" x14ac:dyDescent="0.25">
      <c r="A348" s="2" t="str">
        <f>HYPERLINK("https://www.list-org.com/company/13749040","https://www.list-org.com/company/13749040")</f>
        <v>https://www.list-org.com/company/13749040</v>
      </c>
      <c r="B348" s="3" t="s">
        <v>1702</v>
      </c>
      <c r="C348" s="3" t="s">
        <v>1703</v>
      </c>
      <c r="D348" s="3" t="s">
        <v>14</v>
      </c>
      <c r="E348" s="3" t="s">
        <v>1704</v>
      </c>
      <c r="F348" s="3" t="s">
        <v>1705</v>
      </c>
      <c r="G348" s="3"/>
      <c r="H348" s="3" t="s">
        <v>1575</v>
      </c>
      <c r="I348" s="4"/>
      <c r="J348" s="4"/>
      <c r="K348" s="4"/>
      <c r="L348" s="4"/>
    </row>
    <row r="349" spans="1:12" x14ac:dyDescent="0.25">
      <c r="A349" s="2" t="str">
        <f>HYPERLINK("https://www.list-org.com/company/13749164","https://www.list-org.com/company/13749164")</f>
        <v>https://www.list-org.com/company/13749164</v>
      </c>
      <c r="B349" s="3" t="s">
        <v>1706</v>
      </c>
      <c r="C349" s="3" t="s">
        <v>1707</v>
      </c>
      <c r="D349" s="3" t="s">
        <v>14</v>
      </c>
      <c r="E349" s="3" t="s">
        <v>1708</v>
      </c>
      <c r="F349" s="3" t="s">
        <v>1709</v>
      </c>
      <c r="G349" s="3"/>
      <c r="H349" s="3" t="s">
        <v>1710</v>
      </c>
      <c r="I349" s="4"/>
      <c r="J349" s="4"/>
      <c r="K349" s="4"/>
      <c r="L349" s="4"/>
    </row>
    <row r="350" spans="1:12" x14ac:dyDescent="0.25">
      <c r="A350" s="2" t="str">
        <f>HYPERLINK("https://www.list-org.com/company/13749168","https://www.list-org.com/company/13749168")</f>
        <v>https://www.list-org.com/company/13749168</v>
      </c>
      <c r="B350" s="3" t="s">
        <v>1711</v>
      </c>
      <c r="C350" s="3" t="s">
        <v>1712</v>
      </c>
      <c r="D350" s="3" t="s">
        <v>14</v>
      </c>
      <c r="E350" s="3" t="s">
        <v>1713</v>
      </c>
      <c r="F350" s="3" t="s">
        <v>1714</v>
      </c>
      <c r="G350" s="3"/>
      <c r="H350" s="3" t="s">
        <v>1715</v>
      </c>
      <c r="I350" s="4"/>
      <c r="J350" s="4"/>
      <c r="K350" s="4"/>
      <c r="L350" s="4"/>
    </row>
    <row r="351" spans="1:12" x14ac:dyDescent="0.25">
      <c r="A351" s="2" t="str">
        <f>HYPERLINK("https://www.list-org.com/company/13749173","https://www.list-org.com/company/13749173")</f>
        <v>https://www.list-org.com/company/13749173</v>
      </c>
      <c r="B351" s="3" t="s">
        <v>1716</v>
      </c>
      <c r="C351" s="3" t="s">
        <v>1717</v>
      </c>
      <c r="D351" s="3" t="s">
        <v>14</v>
      </c>
      <c r="E351" s="3" t="s">
        <v>1718</v>
      </c>
      <c r="F351" s="3" t="s">
        <v>1719</v>
      </c>
      <c r="G351" s="3"/>
      <c r="H351" s="3" t="s">
        <v>1720</v>
      </c>
      <c r="I351" s="4"/>
      <c r="J351" s="4"/>
      <c r="K351" s="4"/>
      <c r="L351" s="4"/>
    </row>
    <row r="352" spans="1:12" x14ac:dyDescent="0.25">
      <c r="A352" s="2" t="str">
        <f>HYPERLINK("https://www.list-org.com/company/13749176","https://www.list-org.com/company/13749176")</f>
        <v>https://www.list-org.com/company/13749176</v>
      </c>
      <c r="B352" s="3" t="s">
        <v>1721</v>
      </c>
      <c r="C352" s="3" t="s">
        <v>1722</v>
      </c>
      <c r="D352" s="3" t="s">
        <v>14</v>
      </c>
      <c r="E352" s="3" t="s">
        <v>1723</v>
      </c>
      <c r="F352" s="3" t="s">
        <v>1724</v>
      </c>
      <c r="G352" s="3"/>
      <c r="H352" s="3" t="s">
        <v>1725</v>
      </c>
      <c r="I352" s="4"/>
      <c r="J352" s="4"/>
      <c r="K352" s="4"/>
      <c r="L352" s="4"/>
    </row>
    <row r="353" spans="1:12" x14ac:dyDescent="0.25">
      <c r="A353" s="2" t="str">
        <f>HYPERLINK("https://www.list-org.com/company/13749211","https://www.list-org.com/company/13749211")</f>
        <v>https://www.list-org.com/company/13749211</v>
      </c>
      <c r="B353" s="3" t="s">
        <v>1726</v>
      </c>
      <c r="C353" s="3" t="s">
        <v>1727</v>
      </c>
      <c r="D353" s="3" t="s">
        <v>14</v>
      </c>
      <c r="E353" s="3" t="s">
        <v>1728</v>
      </c>
      <c r="F353" s="3" t="s">
        <v>1729</v>
      </c>
      <c r="G353" s="3"/>
      <c r="H353" s="3" t="s">
        <v>131</v>
      </c>
      <c r="I353" s="4"/>
      <c r="J353" s="4"/>
      <c r="K353" s="4"/>
      <c r="L353" s="4"/>
    </row>
    <row r="354" spans="1:12" x14ac:dyDescent="0.25">
      <c r="A354" s="2" t="str">
        <f>HYPERLINK("https://www.list-org.com/company/13749341","https://www.list-org.com/company/13749341")</f>
        <v>https://www.list-org.com/company/13749341</v>
      </c>
      <c r="B354" s="3" t="s">
        <v>1730</v>
      </c>
      <c r="C354" s="3" t="s">
        <v>1731</v>
      </c>
      <c r="D354" s="3" t="s">
        <v>14</v>
      </c>
      <c r="E354" s="3" t="s">
        <v>1732</v>
      </c>
      <c r="F354" s="3" t="s">
        <v>1733</v>
      </c>
      <c r="G354" s="3"/>
      <c r="H354" s="3" t="s">
        <v>1734</v>
      </c>
      <c r="I354" s="4"/>
      <c r="J354" s="4"/>
      <c r="K354" s="4"/>
      <c r="L354" s="4"/>
    </row>
    <row r="355" spans="1:12" x14ac:dyDescent="0.25">
      <c r="A355" s="2" t="str">
        <f>HYPERLINK("https://www.list-org.com/company/13749355","https://www.list-org.com/company/13749355")</f>
        <v>https://www.list-org.com/company/13749355</v>
      </c>
      <c r="B355" s="3" t="s">
        <v>1735</v>
      </c>
      <c r="C355" s="3" t="s">
        <v>1736</v>
      </c>
      <c r="D355" s="3" t="s">
        <v>14</v>
      </c>
      <c r="E355" s="3" t="s">
        <v>1737</v>
      </c>
      <c r="F355" s="3" t="s">
        <v>1738</v>
      </c>
      <c r="G355" s="3"/>
      <c r="H355" s="3" t="s">
        <v>1739</v>
      </c>
      <c r="I355" s="4"/>
      <c r="J355" s="4"/>
      <c r="K355" s="4"/>
      <c r="L355" s="4"/>
    </row>
    <row r="356" spans="1:12" x14ac:dyDescent="0.25">
      <c r="A356" s="2" t="str">
        <f>HYPERLINK("https://www.list-org.com/company/13749738","https://www.list-org.com/company/13749738")</f>
        <v>https://www.list-org.com/company/13749738</v>
      </c>
      <c r="B356" s="3" t="s">
        <v>1740</v>
      </c>
      <c r="C356" s="3" t="s">
        <v>1741</v>
      </c>
      <c r="D356" s="3" t="s">
        <v>14</v>
      </c>
      <c r="E356" s="3" t="s">
        <v>1742</v>
      </c>
      <c r="F356" s="3" t="s">
        <v>1743</v>
      </c>
      <c r="G356" s="3"/>
      <c r="H356" s="3" t="s">
        <v>1744</v>
      </c>
      <c r="I356" s="4"/>
      <c r="J356" s="4"/>
      <c r="K356" s="4"/>
      <c r="L356" s="4"/>
    </row>
    <row r="357" spans="1:12" x14ac:dyDescent="0.25">
      <c r="A357" s="2" t="str">
        <f>HYPERLINK("https://www.list-org.com/company/13749929","https://www.list-org.com/company/13749929")</f>
        <v>https://www.list-org.com/company/13749929</v>
      </c>
      <c r="B357" s="3" t="s">
        <v>1745</v>
      </c>
      <c r="C357" s="3" t="s">
        <v>1746</v>
      </c>
      <c r="D357" s="3" t="s">
        <v>14</v>
      </c>
      <c r="E357" s="3" t="s">
        <v>1747</v>
      </c>
      <c r="F357" s="3" t="s">
        <v>1748</v>
      </c>
      <c r="G357" s="3"/>
      <c r="H357" s="3" t="s">
        <v>1749</v>
      </c>
      <c r="I357" s="4"/>
      <c r="J357" s="4"/>
      <c r="K357" s="4"/>
      <c r="L357" s="4"/>
    </row>
    <row r="358" spans="1:12" x14ac:dyDescent="0.25">
      <c r="A358" s="2" t="str">
        <f>HYPERLINK("https://www.list-org.com/company/13749939","https://www.list-org.com/company/13749939")</f>
        <v>https://www.list-org.com/company/13749939</v>
      </c>
      <c r="B358" s="3" t="s">
        <v>1750</v>
      </c>
      <c r="C358" s="3" t="s">
        <v>1751</v>
      </c>
      <c r="D358" s="3" t="s">
        <v>14</v>
      </c>
      <c r="E358" s="3" t="s">
        <v>1752</v>
      </c>
      <c r="F358" s="3" t="s">
        <v>1753</v>
      </c>
      <c r="G358" s="3"/>
      <c r="H358" s="3" t="s">
        <v>1754</v>
      </c>
      <c r="I358" s="4"/>
      <c r="J358" s="4"/>
      <c r="K358" s="4"/>
      <c r="L358" s="4"/>
    </row>
    <row r="359" spans="1:12" x14ac:dyDescent="0.25">
      <c r="A359" s="2" t="str">
        <f>HYPERLINK("https://www.list-org.com/company/13750041","https://www.list-org.com/company/13750041")</f>
        <v>https://www.list-org.com/company/13750041</v>
      </c>
      <c r="B359" s="3" t="s">
        <v>1755</v>
      </c>
      <c r="C359" s="3" t="s">
        <v>1756</v>
      </c>
      <c r="D359" s="3" t="s">
        <v>14</v>
      </c>
      <c r="E359" s="3" t="s">
        <v>1757</v>
      </c>
      <c r="F359" s="3" t="s">
        <v>1758</v>
      </c>
      <c r="G359" s="3"/>
      <c r="H359" s="3" t="s">
        <v>1759</v>
      </c>
      <c r="I359" s="4"/>
      <c r="J359" s="4"/>
      <c r="K359" s="4"/>
      <c r="L359" s="4"/>
    </row>
    <row r="360" spans="1:12" x14ac:dyDescent="0.25">
      <c r="A360" s="2" t="str">
        <f>HYPERLINK("https://www.list-org.com/company/13750059","https://www.list-org.com/company/13750059")</f>
        <v>https://www.list-org.com/company/13750059</v>
      </c>
      <c r="B360" s="3" t="s">
        <v>1760</v>
      </c>
      <c r="C360" s="3" t="s">
        <v>1761</v>
      </c>
      <c r="D360" s="3" t="s">
        <v>14</v>
      </c>
      <c r="E360" s="3" t="s">
        <v>1762</v>
      </c>
      <c r="F360" s="3" t="s">
        <v>1763</v>
      </c>
      <c r="G360" s="3"/>
      <c r="H360" s="3" t="s">
        <v>1764</v>
      </c>
      <c r="I360" s="4"/>
      <c r="J360" s="4"/>
      <c r="K360" s="4"/>
      <c r="L360" s="4">
        <v>600</v>
      </c>
    </row>
    <row r="361" spans="1:12" x14ac:dyDescent="0.25">
      <c r="A361" s="2" t="str">
        <f>HYPERLINK("https://www.list-org.com/company/13750096","https://www.list-org.com/company/13750096")</f>
        <v>https://www.list-org.com/company/13750096</v>
      </c>
      <c r="B361" s="3" t="s">
        <v>1765</v>
      </c>
      <c r="C361" s="3" t="s">
        <v>1766</v>
      </c>
      <c r="D361" s="3" t="s">
        <v>14</v>
      </c>
      <c r="E361" s="3" t="s">
        <v>1767</v>
      </c>
      <c r="F361" s="3" t="s">
        <v>1768</v>
      </c>
      <c r="G361" s="3"/>
      <c r="H361" s="3" t="s">
        <v>1769</v>
      </c>
      <c r="I361" s="4"/>
      <c r="J361" s="4"/>
      <c r="K361" s="4"/>
      <c r="L361" s="4"/>
    </row>
    <row r="362" spans="1:12" x14ac:dyDescent="0.25">
      <c r="A362" s="2" t="str">
        <f>HYPERLINK("https://www.list-org.com/company/13750097","https://www.list-org.com/company/13750097")</f>
        <v>https://www.list-org.com/company/13750097</v>
      </c>
      <c r="B362" s="3" t="s">
        <v>1770</v>
      </c>
      <c r="C362" s="3" t="s">
        <v>1771</v>
      </c>
      <c r="D362" s="3" t="s">
        <v>14</v>
      </c>
      <c r="E362" s="3" t="s">
        <v>1772</v>
      </c>
      <c r="F362" s="3" t="s">
        <v>1773</v>
      </c>
      <c r="G362" s="3"/>
      <c r="H362" s="3" t="s">
        <v>1774</v>
      </c>
      <c r="I362" s="4"/>
      <c r="J362" s="4"/>
      <c r="K362" s="4"/>
      <c r="L362" s="4"/>
    </row>
    <row r="363" spans="1:12" x14ac:dyDescent="0.25">
      <c r="A363" s="2" t="str">
        <f>HYPERLINK("https://www.list-org.com/company/13750140","https://www.list-org.com/company/13750140")</f>
        <v>https://www.list-org.com/company/13750140</v>
      </c>
      <c r="B363" s="3" t="s">
        <v>1775</v>
      </c>
      <c r="C363" s="3" t="s">
        <v>1776</v>
      </c>
      <c r="D363" s="3" t="s">
        <v>14</v>
      </c>
      <c r="E363" s="3" t="s">
        <v>1777</v>
      </c>
      <c r="F363" s="3" t="s">
        <v>1778</v>
      </c>
      <c r="G363" s="3"/>
      <c r="H363" s="3" t="s">
        <v>1779</v>
      </c>
      <c r="I363" s="4"/>
      <c r="J363" s="4"/>
      <c r="K363" s="4"/>
      <c r="L363" s="4"/>
    </row>
    <row r="364" spans="1:12" x14ac:dyDescent="0.25">
      <c r="A364" s="2" t="str">
        <f>HYPERLINK("https://www.list-org.com/company/13750237","https://www.list-org.com/company/13750237")</f>
        <v>https://www.list-org.com/company/13750237</v>
      </c>
      <c r="B364" s="3" t="s">
        <v>1780</v>
      </c>
      <c r="C364" s="3" t="s">
        <v>1781</v>
      </c>
      <c r="D364" s="3" t="s">
        <v>14</v>
      </c>
      <c r="E364" s="3" t="s">
        <v>1782</v>
      </c>
      <c r="F364" s="3" t="s">
        <v>1783</v>
      </c>
      <c r="G364" s="3"/>
      <c r="H364" s="3" t="s">
        <v>1784</v>
      </c>
      <c r="I364" s="4"/>
      <c r="J364" s="4"/>
      <c r="K364" s="4"/>
      <c r="L364" s="4"/>
    </row>
    <row r="365" spans="1:12" x14ac:dyDescent="0.25">
      <c r="A365" s="2" t="str">
        <f>HYPERLINK("https://www.list-org.com/company/13750473","https://www.list-org.com/company/13750473")</f>
        <v>https://www.list-org.com/company/13750473</v>
      </c>
      <c r="B365" s="3" t="s">
        <v>1785</v>
      </c>
      <c r="C365" s="3" t="s">
        <v>1786</v>
      </c>
      <c r="D365" s="3" t="s">
        <v>14</v>
      </c>
      <c r="E365" s="3" t="s">
        <v>1787</v>
      </c>
      <c r="F365" s="3" t="s">
        <v>1788</v>
      </c>
      <c r="G365" s="3"/>
      <c r="H365" s="3" t="s">
        <v>1789</v>
      </c>
      <c r="I365" s="4"/>
      <c r="J365" s="4"/>
      <c r="K365" s="4"/>
      <c r="L365" s="4"/>
    </row>
    <row r="366" spans="1:12" x14ac:dyDescent="0.25">
      <c r="A366" s="2" t="str">
        <f>HYPERLINK("https://www.list-org.com/company/13750624","https://www.list-org.com/company/13750624")</f>
        <v>https://www.list-org.com/company/13750624</v>
      </c>
      <c r="B366" s="3" t="s">
        <v>1790</v>
      </c>
      <c r="C366" s="3" t="s">
        <v>1791</v>
      </c>
      <c r="D366" s="3" t="s">
        <v>14</v>
      </c>
      <c r="E366" s="3" t="s">
        <v>1792</v>
      </c>
      <c r="F366" s="3" t="s">
        <v>1793</v>
      </c>
      <c r="G366" s="3"/>
      <c r="H366" s="3" t="s">
        <v>1794</v>
      </c>
      <c r="I366" s="4"/>
      <c r="J366" s="4"/>
      <c r="K366" s="4"/>
      <c r="L366" s="4"/>
    </row>
    <row r="367" spans="1:12" x14ac:dyDescent="0.25">
      <c r="A367" s="2" t="str">
        <f>HYPERLINK("https://www.list-org.com/company/13750788","https://www.list-org.com/company/13750788")</f>
        <v>https://www.list-org.com/company/13750788</v>
      </c>
      <c r="B367" s="3" t="s">
        <v>1795</v>
      </c>
      <c r="C367" s="3" t="s">
        <v>1796</v>
      </c>
      <c r="D367" s="3" t="s">
        <v>14</v>
      </c>
      <c r="E367" s="3" t="s">
        <v>1797</v>
      </c>
      <c r="F367" s="3" t="s">
        <v>1798</v>
      </c>
      <c r="G367" s="3"/>
      <c r="H367" s="3" t="s">
        <v>1799</v>
      </c>
      <c r="I367" s="4"/>
      <c r="J367" s="4"/>
      <c r="K367" s="4"/>
      <c r="L367" s="4"/>
    </row>
    <row r="368" spans="1:12" x14ac:dyDescent="0.25">
      <c r="A368" s="2" t="str">
        <f>HYPERLINK("https://www.list-org.com/company/13750988","https://www.list-org.com/company/13750988")</f>
        <v>https://www.list-org.com/company/13750988</v>
      </c>
      <c r="B368" s="3" t="s">
        <v>1800</v>
      </c>
      <c r="C368" s="3" t="s">
        <v>1801</v>
      </c>
      <c r="D368" s="3" t="s">
        <v>14</v>
      </c>
      <c r="E368" s="3" t="s">
        <v>1802</v>
      </c>
      <c r="F368" s="3" t="s">
        <v>1803</v>
      </c>
      <c r="G368" s="3"/>
      <c r="H368" s="3" t="s">
        <v>1804</v>
      </c>
      <c r="I368" s="4"/>
      <c r="J368" s="4"/>
      <c r="K368" s="4"/>
      <c r="L368" s="4"/>
    </row>
    <row r="369" spans="1:12" x14ac:dyDescent="0.25">
      <c r="A369" s="2" t="str">
        <f>HYPERLINK("https://www.list-org.com/company/13751195","https://www.list-org.com/company/13751195")</f>
        <v>https://www.list-org.com/company/13751195</v>
      </c>
      <c r="B369" s="3" t="s">
        <v>1805</v>
      </c>
      <c r="C369" s="3" t="s">
        <v>1806</v>
      </c>
      <c r="D369" s="3" t="s">
        <v>14</v>
      </c>
      <c r="E369" s="3" t="s">
        <v>1807</v>
      </c>
      <c r="F369" s="3" t="s">
        <v>1808</v>
      </c>
      <c r="G369" s="3"/>
      <c r="H369" s="3" t="s">
        <v>1809</v>
      </c>
      <c r="I369" s="4">
        <v>1</v>
      </c>
      <c r="J369" s="4">
        <v>4982</v>
      </c>
      <c r="K369" s="4">
        <v>606</v>
      </c>
      <c r="L369" s="4">
        <v>826</v>
      </c>
    </row>
    <row r="370" spans="1:12" x14ac:dyDescent="0.25">
      <c r="A370" s="2" t="str">
        <f>HYPERLINK("https://www.list-org.com/company/13751229","https://www.list-org.com/company/13751229")</f>
        <v>https://www.list-org.com/company/13751229</v>
      </c>
      <c r="B370" s="3" t="s">
        <v>1810</v>
      </c>
      <c r="C370" s="3" t="s">
        <v>1811</v>
      </c>
      <c r="D370" s="3" t="s">
        <v>14</v>
      </c>
      <c r="E370" s="3" t="s">
        <v>1812</v>
      </c>
      <c r="F370" s="3" t="s">
        <v>1813</v>
      </c>
      <c r="G370" s="3"/>
      <c r="H370" s="3" t="s">
        <v>1814</v>
      </c>
      <c r="I370" s="4"/>
      <c r="J370" s="4"/>
      <c r="K370" s="4"/>
      <c r="L370" s="4"/>
    </row>
    <row r="371" spans="1:12" x14ac:dyDescent="0.25">
      <c r="A371" s="2" t="str">
        <f>HYPERLINK("https://www.list-org.com/company/13751307","https://www.list-org.com/company/13751307")</f>
        <v>https://www.list-org.com/company/13751307</v>
      </c>
      <c r="B371" s="3" t="s">
        <v>1815</v>
      </c>
      <c r="C371" s="3" t="s">
        <v>1816</v>
      </c>
      <c r="D371" s="3" t="s">
        <v>14</v>
      </c>
      <c r="E371" s="3" t="s">
        <v>1817</v>
      </c>
      <c r="F371" s="3" t="s">
        <v>1818</v>
      </c>
      <c r="G371" s="3"/>
      <c r="H371" s="3" t="s">
        <v>1819</v>
      </c>
      <c r="I371" s="4"/>
      <c r="J371" s="4"/>
      <c r="K371" s="4"/>
      <c r="L371" s="4"/>
    </row>
    <row r="372" spans="1:12" x14ac:dyDescent="0.25">
      <c r="A372" s="2" t="str">
        <f>HYPERLINK("https://www.list-org.com/company/13751414","https://www.list-org.com/company/13751414")</f>
        <v>https://www.list-org.com/company/13751414</v>
      </c>
      <c r="B372" s="3" t="s">
        <v>1820</v>
      </c>
      <c r="C372" s="3" t="s">
        <v>1821</v>
      </c>
      <c r="D372" s="3" t="s">
        <v>14</v>
      </c>
      <c r="E372" s="3" t="s">
        <v>1822</v>
      </c>
      <c r="F372" s="3" t="s">
        <v>1823</v>
      </c>
      <c r="G372" s="3"/>
      <c r="H372" s="3" t="s">
        <v>1824</v>
      </c>
      <c r="I372" s="4"/>
      <c r="J372" s="4"/>
      <c r="K372" s="4"/>
      <c r="L372" s="4"/>
    </row>
    <row r="373" spans="1:12" x14ac:dyDescent="0.25">
      <c r="A373" s="2" t="str">
        <f>HYPERLINK("https://www.list-org.com/company/13751479","https://www.list-org.com/company/13751479")</f>
        <v>https://www.list-org.com/company/13751479</v>
      </c>
      <c r="B373" s="3" t="s">
        <v>1825</v>
      </c>
      <c r="C373" s="3" t="s">
        <v>1826</v>
      </c>
      <c r="D373" s="3" t="s">
        <v>14</v>
      </c>
      <c r="E373" s="3" t="s">
        <v>1827</v>
      </c>
      <c r="F373" s="3" t="s">
        <v>1828</v>
      </c>
      <c r="G373" s="3"/>
      <c r="H373" s="3" t="s">
        <v>1829</v>
      </c>
      <c r="I373" s="4"/>
      <c r="J373" s="4"/>
      <c r="K373" s="4"/>
      <c r="L373" s="4"/>
    </row>
    <row r="374" spans="1:12" x14ac:dyDescent="0.25">
      <c r="A374" s="2" t="str">
        <f>HYPERLINK("https://www.list-org.com/company/13751480","https://www.list-org.com/company/13751480")</f>
        <v>https://www.list-org.com/company/13751480</v>
      </c>
      <c r="B374" s="3" t="s">
        <v>1830</v>
      </c>
      <c r="C374" s="3" t="s">
        <v>1831</v>
      </c>
      <c r="D374" s="3" t="s">
        <v>14</v>
      </c>
      <c r="E374" s="3" t="s">
        <v>1832</v>
      </c>
      <c r="F374" s="3" t="s">
        <v>1833</v>
      </c>
      <c r="G374" s="3"/>
      <c r="H374" s="3" t="s">
        <v>1834</v>
      </c>
      <c r="I374" s="4"/>
      <c r="J374" s="4"/>
      <c r="K374" s="4"/>
      <c r="L374" s="4"/>
    </row>
    <row r="375" spans="1:12" x14ac:dyDescent="0.25">
      <c r="A375" s="2" t="str">
        <f>HYPERLINK("https://www.list-org.com/company/13751598","https://www.list-org.com/company/13751598")</f>
        <v>https://www.list-org.com/company/13751598</v>
      </c>
      <c r="B375" s="3" t="s">
        <v>1835</v>
      </c>
      <c r="C375" s="3" t="s">
        <v>1836</v>
      </c>
      <c r="D375" s="3" t="s">
        <v>14</v>
      </c>
      <c r="E375" s="3" t="s">
        <v>1837</v>
      </c>
      <c r="F375" s="3" t="s">
        <v>1838</v>
      </c>
      <c r="G375" s="3"/>
      <c r="H375" s="3" t="s">
        <v>1839</v>
      </c>
      <c r="I375" s="4"/>
      <c r="J375" s="4"/>
      <c r="K375" s="4"/>
      <c r="L375" s="4"/>
    </row>
    <row r="376" spans="1:12" x14ac:dyDescent="0.25">
      <c r="A376" s="2" t="str">
        <f>HYPERLINK("https://www.list-org.com/company/13751634","https://www.list-org.com/company/13751634")</f>
        <v>https://www.list-org.com/company/13751634</v>
      </c>
      <c r="B376" s="3" t="s">
        <v>1840</v>
      </c>
      <c r="C376" s="3" t="s">
        <v>1841</v>
      </c>
      <c r="D376" s="3" t="s">
        <v>14</v>
      </c>
      <c r="E376" s="3" t="s">
        <v>1842</v>
      </c>
      <c r="F376" s="3" t="s">
        <v>1843</v>
      </c>
      <c r="G376" s="3"/>
      <c r="H376" s="3" t="s">
        <v>1839</v>
      </c>
      <c r="I376" s="4"/>
      <c r="J376" s="4"/>
      <c r="K376" s="4"/>
      <c r="L376" s="4"/>
    </row>
    <row r="377" spans="1:12" x14ac:dyDescent="0.25">
      <c r="A377" s="2" t="str">
        <f>HYPERLINK("https://www.list-org.com/company/13751690","https://www.list-org.com/company/13751690")</f>
        <v>https://www.list-org.com/company/13751690</v>
      </c>
      <c r="B377" s="3" t="s">
        <v>1844</v>
      </c>
      <c r="C377" s="3" t="s">
        <v>1845</v>
      </c>
      <c r="D377" s="3" t="s">
        <v>14</v>
      </c>
      <c r="E377" s="3" t="s">
        <v>1846</v>
      </c>
      <c r="F377" s="3" t="s">
        <v>1847</v>
      </c>
      <c r="G377" s="3"/>
      <c r="H377" s="3" t="s">
        <v>1411</v>
      </c>
      <c r="I377" s="4"/>
      <c r="J377" s="4"/>
      <c r="K377" s="4"/>
      <c r="L377" s="4"/>
    </row>
    <row r="378" spans="1:12" x14ac:dyDescent="0.25">
      <c r="A378" s="2" t="str">
        <f>HYPERLINK("https://www.list-org.com/company/13751718","https://www.list-org.com/company/13751718")</f>
        <v>https://www.list-org.com/company/13751718</v>
      </c>
      <c r="B378" s="3" t="s">
        <v>1848</v>
      </c>
      <c r="C378" s="3" t="s">
        <v>1849</v>
      </c>
      <c r="D378" s="3" t="s">
        <v>14</v>
      </c>
      <c r="E378" s="3" t="s">
        <v>1850</v>
      </c>
      <c r="F378" s="3" t="s">
        <v>1851</v>
      </c>
      <c r="G378" s="3"/>
      <c r="H378" s="3" t="s">
        <v>1852</v>
      </c>
      <c r="I378" s="4">
        <v>2</v>
      </c>
      <c r="J378" s="4">
        <v>149911</v>
      </c>
      <c r="K378" s="4">
        <v>159614</v>
      </c>
      <c r="L378" s="4">
        <v>177749</v>
      </c>
    </row>
    <row r="379" spans="1:12" x14ac:dyDescent="0.25">
      <c r="A379" s="2" t="str">
        <f>HYPERLINK("https://www.list-org.com/company/13751827","https://www.list-org.com/company/13751827")</f>
        <v>https://www.list-org.com/company/13751827</v>
      </c>
      <c r="B379" s="3" t="s">
        <v>1853</v>
      </c>
      <c r="C379" s="3" t="s">
        <v>1854</v>
      </c>
      <c r="D379" s="3" t="s">
        <v>14</v>
      </c>
      <c r="E379" s="3" t="s">
        <v>1855</v>
      </c>
      <c r="F379" s="3" t="s">
        <v>1856</v>
      </c>
      <c r="G379" s="3"/>
      <c r="H379" s="3" t="s">
        <v>1857</v>
      </c>
      <c r="I379" s="4"/>
      <c r="J379" s="4"/>
      <c r="K379" s="4"/>
      <c r="L379" s="4"/>
    </row>
    <row r="380" spans="1:12" x14ac:dyDescent="0.25">
      <c r="A380" s="2" t="str">
        <f>HYPERLINK("https://www.list-org.com/company/13751955","https://www.list-org.com/company/13751955")</f>
        <v>https://www.list-org.com/company/13751955</v>
      </c>
      <c r="B380" s="3" t="s">
        <v>1858</v>
      </c>
      <c r="C380" s="3" t="s">
        <v>1859</v>
      </c>
      <c r="D380" s="3" t="s">
        <v>14</v>
      </c>
      <c r="E380" s="3" t="s">
        <v>1860</v>
      </c>
      <c r="F380" s="3" t="s">
        <v>1861</v>
      </c>
      <c r="G380" s="3"/>
      <c r="H380" s="3" t="s">
        <v>1862</v>
      </c>
      <c r="I380" s="4"/>
      <c r="J380" s="4"/>
      <c r="K380" s="4"/>
      <c r="L380" s="4"/>
    </row>
    <row r="381" spans="1:12" x14ac:dyDescent="0.25">
      <c r="A381" s="2" t="str">
        <f>HYPERLINK("https://www.list-org.com/company/13752466","https://www.list-org.com/company/13752466")</f>
        <v>https://www.list-org.com/company/13752466</v>
      </c>
      <c r="B381" s="3" t="s">
        <v>1863</v>
      </c>
      <c r="C381" s="3" t="s">
        <v>1864</v>
      </c>
      <c r="D381" s="3" t="s">
        <v>14</v>
      </c>
      <c r="E381" s="3" t="s">
        <v>1865</v>
      </c>
      <c r="F381" s="3" t="s">
        <v>1866</v>
      </c>
      <c r="G381" s="3"/>
      <c r="H381" s="3" t="s">
        <v>1867</v>
      </c>
      <c r="I381" s="4"/>
      <c r="J381" s="4"/>
      <c r="K381" s="4"/>
      <c r="L381" s="4"/>
    </row>
    <row r="382" spans="1:12" x14ac:dyDescent="0.25">
      <c r="A382" s="2" t="str">
        <f>HYPERLINK("https://www.list-org.com/company/13752475","https://www.list-org.com/company/13752475")</f>
        <v>https://www.list-org.com/company/13752475</v>
      </c>
      <c r="B382" s="3" t="s">
        <v>1868</v>
      </c>
      <c r="C382" s="3" t="s">
        <v>1869</v>
      </c>
      <c r="D382" s="3" t="s">
        <v>14</v>
      </c>
      <c r="E382" s="3" t="s">
        <v>1870</v>
      </c>
      <c r="F382" s="3" t="s">
        <v>1871</v>
      </c>
      <c r="G382" s="3"/>
      <c r="H382" s="3" t="s">
        <v>1872</v>
      </c>
      <c r="I382" s="4"/>
      <c r="J382" s="4"/>
      <c r="K382" s="4"/>
      <c r="L382" s="4"/>
    </row>
    <row r="383" spans="1:12" x14ac:dyDescent="0.25">
      <c r="A383" s="2" t="str">
        <f>HYPERLINK("https://www.list-org.com/company/13752499","https://www.list-org.com/company/13752499")</f>
        <v>https://www.list-org.com/company/13752499</v>
      </c>
      <c r="B383" s="3" t="s">
        <v>1873</v>
      </c>
      <c r="C383" s="3" t="s">
        <v>1874</v>
      </c>
      <c r="D383" s="3" t="s">
        <v>14</v>
      </c>
      <c r="E383" s="3" t="s">
        <v>1875</v>
      </c>
      <c r="F383" s="3" t="s">
        <v>1876</v>
      </c>
      <c r="G383" s="3"/>
      <c r="H383" s="3" t="s">
        <v>1877</v>
      </c>
      <c r="I383" s="4"/>
      <c r="J383" s="4"/>
      <c r="K383" s="4"/>
      <c r="L383" s="4"/>
    </row>
    <row r="384" spans="1:12" x14ac:dyDescent="0.25">
      <c r="A384" s="2" t="str">
        <f>HYPERLINK("https://www.list-org.com/company/13753685","https://www.list-org.com/company/13753685")</f>
        <v>https://www.list-org.com/company/13753685</v>
      </c>
      <c r="B384" s="3" t="s">
        <v>1878</v>
      </c>
      <c r="C384" s="3" t="s">
        <v>1879</v>
      </c>
      <c r="D384" s="3" t="s">
        <v>14</v>
      </c>
      <c r="E384" s="3" t="s">
        <v>1880</v>
      </c>
      <c r="F384" s="3" t="s">
        <v>1881</v>
      </c>
      <c r="G384" s="3"/>
      <c r="H384" s="3" t="s">
        <v>1882</v>
      </c>
      <c r="I384" s="4"/>
      <c r="J384" s="4"/>
      <c r="K384" s="4"/>
      <c r="L384" s="4"/>
    </row>
    <row r="385" spans="1:12" x14ac:dyDescent="0.25">
      <c r="A385" s="2" t="str">
        <f>HYPERLINK("https://www.list-org.com/company/13753686","https://www.list-org.com/company/13753686")</f>
        <v>https://www.list-org.com/company/13753686</v>
      </c>
      <c r="B385" s="3" t="s">
        <v>1883</v>
      </c>
      <c r="C385" s="3" t="s">
        <v>1884</v>
      </c>
      <c r="D385" s="3" t="s">
        <v>14</v>
      </c>
      <c r="E385" s="3" t="s">
        <v>1885</v>
      </c>
      <c r="F385" s="3" t="s">
        <v>1886</v>
      </c>
      <c r="G385" s="3"/>
      <c r="H385" s="3" t="s">
        <v>1887</v>
      </c>
      <c r="I385" s="4"/>
      <c r="J385" s="4"/>
      <c r="K385" s="4"/>
      <c r="L385" s="4"/>
    </row>
    <row r="386" spans="1:12" x14ac:dyDescent="0.25">
      <c r="A386" s="2" t="str">
        <f>HYPERLINK("https://www.list-org.com/company/13753720","https://www.list-org.com/company/13753720")</f>
        <v>https://www.list-org.com/company/13753720</v>
      </c>
      <c r="B386" s="3" t="s">
        <v>1888</v>
      </c>
      <c r="C386" s="3" t="s">
        <v>1889</v>
      </c>
      <c r="D386" s="3" t="s">
        <v>14</v>
      </c>
      <c r="E386" s="3" t="s">
        <v>1890</v>
      </c>
      <c r="F386" s="3" t="s">
        <v>1891</v>
      </c>
      <c r="G386" s="3"/>
      <c r="H386" s="3" t="s">
        <v>1892</v>
      </c>
      <c r="I386" s="4"/>
      <c r="J386" s="4"/>
      <c r="K386" s="4"/>
      <c r="L386" s="4"/>
    </row>
    <row r="387" spans="1:12" x14ac:dyDescent="0.25">
      <c r="A387" s="2" t="str">
        <f>HYPERLINK("https://www.list-org.com/company/13753849","https://www.list-org.com/company/13753849")</f>
        <v>https://www.list-org.com/company/13753849</v>
      </c>
      <c r="B387" s="3" t="s">
        <v>1893</v>
      </c>
      <c r="C387" s="3" t="s">
        <v>1894</v>
      </c>
      <c r="D387" s="3" t="s">
        <v>14</v>
      </c>
      <c r="E387" s="3" t="s">
        <v>1895</v>
      </c>
      <c r="F387" s="3" t="s">
        <v>1896</v>
      </c>
      <c r="G387" s="3"/>
      <c r="H387" s="3" t="s">
        <v>1897</v>
      </c>
      <c r="I387" s="4"/>
      <c r="J387" s="4"/>
      <c r="K387" s="4">
        <v>-90</v>
      </c>
      <c r="L387" s="4"/>
    </row>
    <row r="388" spans="1:12" x14ac:dyDescent="0.25">
      <c r="A388" s="2" t="str">
        <f>HYPERLINK("https://www.list-org.com/company/13754834","https://www.list-org.com/company/13754834")</f>
        <v>https://www.list-org.com/company/13754834</v>
      </c>
      <c r="B388" s="3" t="s">
        <v>1898</v>
      </c>
      <c r="C388" s="3" t="s">
        <v>1899</v>
      </c>
      <c r="D388" s="3" t="s">
        <v>14</v>
      </c>
      <c r="E388" s="3" t="s">
        <v>1900</v>
      </c>
      <c r="F388" s="3" t="s">
        <v>1901</v>
      </c>
      <c r="G388" s="3"/>
      <c r="H388" s="3" t="s">
        <v>1902</v>
      </c>
      <c r="I388" s="4"/>
      <c r="J388" s="4"/>
      <c r="K388" s="4"/>
      <c r="L388" s="4"/>
    </row>
    <row r="389" spans="1:12" x14ac:dyDescent="0.25">
      <c r="A389" s="2" t="str">
        <f>HYPERLINK("https://www.list-org.com/company/13754923","https://www.list-org.com/company/13754923")</f>
        <v>https://www.list-org.com/company/13754923</v>
      </c>
      <c r="B389" s="3" t="s">
        <v>1903</v>
      </c>
      <c r="C389" s="3" t="s">
        <v>1904</v>
      </c>
      <c r="D389" s="3" t="s">
        <v>14</v>
      </c>
      <c r="E389" s="3" t="s">
        <v>1905</v>
      </c>
      <c r="F389" s="3" t="s">
        <v>1906</v>
      </c>
      <c r="G389" s="3"/>
      <c r="H389" s="3" t="s">
        <v>1907</v>
      </c>
      <c r="I389" s="4"/>
      <c r="J389" s="4"/>
      <c r="K389" s="4"/>
      <c r="L389" s="4"/>
    </row>
    <row r="390" spans="1:12" x14ac:dyDescent="0.25">
      <c r="A390" s="2" t="str">
        <f>HYPERLINK("https://www.list-org.com/company/13754962","https://www.list-org.com/company/13754962")</f>
        <v>https://www.list-org.com/company/13754962</v>
      </c>
      <c r="B390" s="3" t="s">
        <v>1908</v>
      </c>
      <c r="C390" s="3" t="s">
        <v>1909</v>
      </c>
      <c r="D390" s="3" t="s">
        <v>14</v>
      </c>
      <c r="E390" s="3" t="s">
        <v>1910</v>
      </c>
      <c r="F390" s="3" t="s">
        <v>1911</v>
      </c>
      <c r="G390" s="3"/>
      <c r="H390" s="3" t="s">
        <v>1912</v>
      </c>
      <c r="I390" s="4"/>
      <c r="J390" s="4"/>
      <c r="K390" s="4"/>
      <c r="L390" s="4"/>
    </row>
    <row r="391" spans="1:12" x14ac:dyDescent="0.25">
      <c r="A391" s="2" t="str">
        <f>HYPERLINK("https://www.list-org.com/company/13755005","https://www.list-org.com/company/13755005")</f>
        <v>https://www.list-org.com/company/13755005</v>
      </c>
      <c r="B391" s="3" t="s">
        <v>1913</v>
      </c>
      <c r="C391" s="3" t="s">
        <v>1914</v>
      </c>
      <c r="D391" s="3" t="s">
        <v>14</v>
      </c>
      <c r="E391" s="3" t="s">
        <v>1915</v>
      </c>
      <c r="F391" s="3" t="s">
        <v>1916</v>
      </c>
      <c r="G391" s="3"/>
      <c r="H391" s="3" t="s">
        <v>1917</v>
      </c>
      <c r="I391" s="4"/>
      <c r="J391" s="4"/>
      <c r="K391" s="4"/>
      <c r="L391" s="4"/>
    </row>
    <row r="392" spans="1:12" x14ac:dyDescent="0.25">
      <c r="A392" s="2" t="str">
        <f>HYPERLINK("https://www.list-org.com/company/13755021","https://www.list-org.com/company/13755021")</f>
        <v>https://www.list-org.com/company/13755021</v>
      </c>
      <c r="B392" s="3" t="s">
        <v>1918</v>
      </c>
      <c r="C392" s="3" t="s">
        <v>1919</v>
      </c>
      <c r="D392" s="3" t="s">
        <v>14</v>
      </c>
      <c r="E392" s="3" t="s">
        <v>1920</v>
      </c>
      <c r="F392" s="3" t="s">
        <v>1921</v>
      </c>
      <c r="G392" s="3"/>
      <c r="H392" s="3" t="s">
        <v>1922</v>
      </c>
      <c r="I392" s="4"/>
      <c r="J392" s="4"/>
      <c r="K392" s="4"/>
      <c r="L392" s="4"/>
    </row>
    <row r="393" spans="1:12" x14ac:dyDescent="0.25">
      <c r="A393" s="2" t="str">
        <f>HYPERLINK("https://www.list-org.com/company/13755052","https://www.list-org.com/company/13755052")</f>
        <v>https://www.list-org.com/company/13755052</v>
      </c>
      <c r="B393" s="3" t="s">
        <v>1923</v>
      </c>
      <c r="C393" s="3" t="s">
        <v>1924</v>
      </c>
      <c r="D393" s="3" t="s">
        <v>14</v>
      </c>
      <c r="E393" s="3" t="s">
        <v>1925</v>
      </c>
      <c r="F393" s="3" t="s">
        <v>1926</v>
      </c>
      <c r="G393" s="3"/>
      <c r="H393" s="3" t="s">
        <v>1927</v>
      </c>
      <c r="I393" s="4"/>
      <c r="J393" s="4"/>
      <c r="K393" s="4"/>
      <c r="L393" s="4"/>
    </row>
    <row r="394" spans="1:12" x14ac:dyDescent="0.25">
      <c r="A394" s="2" t="str">
        <f>HYPERLINK("https://www.list-org.com/company/13755053","https://www.list-org.com/company/13755053")</f>
        <v>https://www.list-org.com/company/13755053</v>
      </c>
      <c r="B394" s="3" t="s">
        <v>1928</v>
      </c>
      <c r="C394" s="3" t="s">
        <v>1929</v>
      </c>
      <c r="D394" s="3" t="s">
        <v>14</v>
      </c>
      <c r="E394" s="3" t="s">
        <v>1930</v>
      </c>
      <c r="F394" s="3" t="s">
        <v>1931</v>
      </c>
      <c r="G394" s="3"/>
      <c r="H394" s="3" t="s">
        <v>1932</v>
      </c>
      <c r="I394" s="4"/>
      <c r="J394" s="4"/>
      <c r="K394" s="4"/>
      <c r="L394" s="4"/>
    </row>
    <row r="395" spans="1:12" x14ac:dyDescent="0.25">
      <c r="A395" s="2" t="str">
        <f>HYPERLINK("https://www.list-org.com/company/13755662","https://www.list-org.com/company/13755662")</f>
        <v>https://www.list-org.com/company/13755662</v>
      </c>
      <c r="B395" s="3" t="s">
        <v>1933</v>
      </c>
      <c r="C395" s="3" t="s">
        <v>1934</v>
      </c>
      <c r="D395" s="3" t="s">
        <v>14</v>
      </c>
      <c r="E395" s="3" t="s">
        <v>1935</v>
      </c>
      <c r="F395" s="3" t="s">
        <v>1936</v>
      </c>
      <c r="G395" s="3"/>
      <c r="H395" s="3" t="s">
        <v>346</v>
      </c>
      <c r="I395" s="4"/>
      <c r="J395" s="4"/>
      <c r="K395" s="4"/>
      <c r="L395" s="4"/>
    </row>
    <row r="396" spans="1:12" x14ac:dyDescent="0.25">
      <c r="A396" s="2" t="str">
        <f>HYPERLINK("https://www.list-org.com/company/13755690","https://www.list-org.com/company/13755690")</f>
        <v>https://www.list-org.com/company/13755690</v>
      </c>
      <c r="B396" s="3" t="s">
        <v>1937</v>
      </c>
      <c r="C396" s="3" t="s">
        <v>1938</v>
      </c>
      <c r="D396" s="3" t="s">
        <v>14</v>
      </c>
      <c r="E396" s="3" t="s">
        <v>1939</v>
      </c>
      <c r="F396" s="3" t="s">
        <v>1940</v>
      </c>
      <c r="G396" s="3"/>
      <c r="H396" s="3" t="s">
        <v>1941</v>
      </c>
      <c r="I396" s="4">
        <v>39</v>
      </c>
      <c r="J396" s="4">
        <v>21205</v>
      </c>
      <c r="K396" s="4">
        <v>-3745</v>
      </c>
      <c r="L396" s="4">
        <v>18458</v>
      </c>
    </row>
    <row r="397" spans="1:12" x14ac:dyDescent="0.25">
      <c r="A397" s="2" t="str">
        <f>HYPERLINK("https://www.list-org.com/company/13755756","https://www.list-org.com/company/13755756")</f>
        <v>https://www.list-org.com/company/13755756</v>
      </c>
      <c r="B397" s="3" t="s">
        <v>1942</v>
      </c>
      <c r="C397" s="3" t="s">
        <v>1943</v>
      </c>
      <c r="D397" s="3" t="s">
        <v>14</v>
      </c>
      <c r="E397" s="3" t="s">
        <v>1944</v>
      </c>
      <c r="F397" s="3" t="s">
        <v>1945</v>
      </c>
      <c r="G397" s="3"/>
      <c r="H397" s="3" t="s">
        <v>1946</v>
      </c>
      <c r="I397" s="4"/>
      <c r="J397" s="4"/>
      <c r="K397" s="4"/>
      <c r="L397" s="4"/>
    </row>
    <row r="398" spans="1:12" x14ac:dyDescent="0.25">
      <c r="A398" s="2" t="str">
        <f>HYPERLINK("https://www.list-org.com/company/13755761","https://www.list-org.com/company/13755761")</f>
        <v>https://www.list-org.com/company/13755761</v>
      </c>
      <c r="B398" s="3" t="s">
        <v>1947</v>
      </c>
      <c r="C398" s="3" t="s">
        <v>1948</v>
      </c>
      <c r="D398" s="3" t="s">
        <v>14</v>
      </c>
      <c r="E398" s="3" t="s">
        <v>1949</v>
      </c>
      <c r="F398" s="3" t="s">
        <v>1950</v>
      </c>
      <c r="G398" s="3"/>
      <c r="H398" s="3" t="s">
        <v>1951</v>
      </c>
      <c r="I398" s="4"/>
      <c r="J398" s="4"/>
      <c r="K398" s="4"/>
      <c r="L398" s="4"/>
    </row>
    <row r="399" spans="1:12" x14ac:dyDescent="0.25">
      <c r="A399" s="2" t="str">
        <f>HYPERLINK("https://www.list-org.com/company/13755766","https://www.list-org.com/company/13755766")</f>
        <v>https://www.list-org.com/company/13755766</v>
      </c>
      <c r="B399" s="3" t="s">
        <v>1952</v>
      </c>
      <c r="C399" s="3" t="s">
        <v>1953</v>
      </c>
      <c r="D399" s="3" t="s">
        <v>14</v>
      </c>
      <c r="E399" s="3" t="s">
        <v>1954</v>
      </c>
      <c r="F399" s="3" t="s">
        <v>1955</v>
      </c>
      <c r="G399" s="3"/>
      <c r="H399" s="3" t="s">
        <v>1956</v>
      </c>
      <c r="I399" s="4"/>
      <c r="J399" s="4"/>
      <c r="K399" s="4"/>
      <c r="L399" s="4"/>
    </row>
    <row r="400" spans="1:12" x14ac:dyDescent="0.25">
      <c r="A400" s="2" t="str">
        <f>HYPERLINK("https://www.list-org.com/company/13755786","https://www.list-org.com/company/13755786")</f>
        <v>https://www.list-org.com/company/13755786</v>
      </c>
      <c r="B400" s="3" t="s">
        <v>1957</v>
      </c>
      <c r="C400" s="3" t="s">
        <v>1958</v>
      </c>
      <c r="D400" s="3" t="s">
        <v>14</v>
      </c>
      <c r="E400" s="3" t="s">
        <v>1959</v>
      </c>
      <c r="F400" s="3" t="s">
        <v>1960</v>
      </c>
      <c r="G400" s="3"/>
      <c r="H400" s="3" t="s">
        <v>1961</v>
      </c>
      <c r="I400" s="4"/>
      <c r="J400" s="4"/>
      <c r="K400" s="4"/>
      <c r="L400" s="4"/>
    </row>
    <row r="401" spans="1:12" x14ac:dyDescent="0.25">
      <c r="A401" s="2" t="str">
        <f>HYPERLINK("https://www.list-org.com/company/13755809","https://www.list-org.com/company/13755809")</f>
        <v>https://www.list-org.com/company/13755809</v>
      </c>
      <c r="B401" s="3" t="s">
        <v>1962</v>
      </c>
      <c r="C401" s="3" t="s">
        <v>1963</v>
      </c>
      <c r="D401" s="3" t="s">
        <v>14</v>
      </c>
      <c r="E401" s="3" t="s">
        <v>1964</v>
      </c>
      <c r="F401" s="3" t="s">
        <v>1965</v>
      </c>
      <c r="G401" s="3"/>
      <c r="H401" s="3" t="s">
        <v>1966</v>
      </c>
      <c r="I401" s="4"/>
      <c r="J401" s="4"/>
      <c r="K401" s="4"/>
      <c r="L401" s="4"/>
    </row>
    <row r="402" spans="1:12" x14ac:dyDescent="0.25">
      <c r="A402" s="2" t="str">
        <f>HYPERLINK("https://www.list-org.com/company/13755833","https://www.list-org.com/company/13755833")</f>
        <v>https://www.list-org.com/company/13755833</v>
      </c>
      <c r="B402" s="3" t="s">
        <v>1967</v>
      </c>
      <c r="C402" s="3" t="s">
        <v>1968</v>
      </c>
      <c r="D402" s="3" t="s">
        <v>14</v>
      </c>
      <c r="E402" s="3" t="s">
        <v>1969</v>
      </c>
      <c r="F402" s="3" t="s">
        <v>1970</v>
      </c>
      <c r="G402" s="3"/>
      <c r="H402" s="3" t="s">
        <v>405</v>
      </c>
      <c r="I402" s="4"/>
      <c r="J402" s="4"/>
      <c r="K402" s="4"/>
      <c r="L402" s="4"/>
    </row>
    <row r="403" spans="1:12" x14ac:dyDescent="0.25">
      <c r="A403" s="2" t="str">
        <f>HYPERLINK("https://www.list-org.com/company/13755877","https://www.list-org.com/company/13755877")</f>
        <v>https://www.list-org.com/company/13755877</v>
      </c>
      <c r="B403" s="3" t="s">
        <v>1971</v>
      </c>
      <c r="C403" s="3" t="s">
        <v>1972</v>
      </c>
      <c r="D403" s="3" t="s">
        <v>14</v>
      </c>
      <c r="E403" s="3" t="s">
        <v>1973</v>
      </c>
      <c r="F403" s="3" t="s">
        <v>1974</v>
      </c>
      <c r="G403" s="3"/>
      <c r="H403" s="3" t="s">
        <v>1975</v>
      </c>
      <c r="I403" s="4"/>
      <c r="J403" s="4"/>
      <c r="K403" s="4"/>
      <c r="L403" s="4"/>
    </row>
    <row r="404" spans="1:12" x14ac:dyDescent="0.25">
      <c r="A404" s="2" t="str">
        <f>HYPERLINK("https://www.list-org.com/company/13755911","https://www.list-org.com/company/13755911")</f>
        <v>https://www.list-org.com/company/13755911</v>
      </c>
      <c r="B404" s="3" t="s">
        <v>1976</v>
      </c>
      <c r="C404" s="3" t="s">
        <v>1977</v>
      </c>
      <c r="D404" s="3" t="s">
        <v>14</v>
      </c>
      <c r="E404" s="3" t="s">
        <v>1978</v>
      </c>
      <c r="F404" s="3" t="s">
        <v>1979</v>
      </c>
      <c r="G404" s="3"/>
      <c r="H404" s="3" t="s">
        <v>1980</v>
      </c>
      <c r="I404" s="4"/>
      <c r="J404" s="4"/>
      <c r="K404" s="4"/>
      <c r="L404" s="4"/>
    </row>
    <row r="405" spans="1:12" x14ac:dyDescent="0.25">
      <c r="A405" s="2" t="str">
        <f>HYPERLINK("https://www.list-org.com/company/13755913","https://www.list-org.com/company/13755913")</f>
        <v>https://www.list-org.com/company/13755913</v>
      </c>
      <c r="B405" s="3" t="s">
        <v>1981</v>
      </c>
      <c r="C405" s="3" t="s">
        <v>1982</v>
      </c>
      <c r="D405" s="3" t="s">
        <v>14</v>
      </c>
      <c r="E405" s="3" t="s">
        <v>1983</v>
      </c>
      <c r="F405" s="3" t="s">
        <v>1984</v>
      </c>
      <c r="G405" s="3"/>
      <c r="H405" s="3" t="s">
        <v>1985</v>
      </c>
      <c r="I405" s="4"/>
      <c r="J405" s="4"/>
      <c r="K405" s="4"/>
      <c r="L405" s="4"/>
    </row>
    <row r="406" spans="1:12" x14ac:dyDescent="0.25">
      <c r="A406" s="2" t="str">
        <f>HYPERLINK("https://www.list-org.com/company/13756000","https://www.list-org.com/company/13756000")</f>
        <v>https://www.list-org.com/company/13756000</v>
      </c>
      <c r="B406" s="3" t="s">
        <v>1986</v>
      </c>
      <c r="C406" s="3" t="s">
        <v>1987</v>
      </c>
      <c r="D406" s="3" t="s">
        <v>14</v>
      </c>
      <c r="E406" s="3" t="s">
        <v>1988</v>
      </c>
      <c r="F406" s="3" t="s">
        <v>1989</v>
      </c>
      <c r="G406" s="3"/>
      <c r="H406" s="3" t="s">
        <v>1990</v>
      </c>
      <c r="I406" s="4"/>
      <c r="J406" s="4"/>
      <c r="K406" s="4"/>
      <c r="L406" s="4"/>
    </row>
    <row r="407" spans="1:12" x14ac:dyDescent="0.25">
      <c r="A407" s="2" t="str">
        <f>HYPERLINK("https://www.list-org.com/company/13756052","https://www.list-org.com/company/13756052")</f>
        <v>https://www.list-org.com/company/13756052</v>
      </c>
      <c r="B407" s="3" t="s">
        <v>1991</v>
      </c>
      <c r="C407" s="3" t="s">
        <v>1992</v>
      </c>
      <c r="D407" s="3" t="s">
        <v>14</v>
      </c>
      <c r="E407" s="3" t="s">
        <v>1993</v>
      </c>
      <c r="F407" s="3" t="s">
        <v>1994</v>
      </c>
      <c r="G407" s="3"/>
      <c r="H407" s="3" t="s">
        <v>1995</v>
      </c>
      <c r="I407" s="4"/>
      <c r="J407" s="4"/>
      <c r="K407" s="4"/>
      <c r="L407" s="4"/>
    </row>
    <row r="408" spans="1:12" x14ac:dyDescent="0.25">
      <c r="A408" s="2" t="str">
        <f>HYPERLINK("https://www.list-org.com/company/13756099","https://www.list-org.com/company/13756099")</f>
        <v>https://www.list-org.com/company/13756099</v>
      </c>
      <c r="B408" s="3" t="s">
        <v>1996</v>
      </c>
      <c r="C408" s="3" t="s">
        <v>1997</v>
      </c>
      <c r="D408" s="3" t="s">
        <v>14</v>
      </c>
      <c r="E408" s="3" t="s">
        <v>1998</v>
      </c>
      <c r="F408" s="3" t="s">
        <v>1999</v>
      </c>
      <c r="G408" s="3"/>
      <c r="H408" s="3" t="s">
        <v>2000</v>
      </c>
      <c r="I408" s="4"/>
      <c r="J408" s="4"/>
      <c r="K408" s="4"/>
      <c r="L408" s="4"/>
    </row>
    <row r="409" spans="1:12" x14ac:dyDescent="0.25">
      <c r="A409" s="2" t="str">
        <f>HYPERLINK("https://www.list-org.com/company/13756107","https://www.list-org.com/company/13756107")</f>
        <v>https://www.list-org.com/company/13756107</v>
      </c>
      <c r="B409" s="3" t="s">
        <v>2001</v>
      </c>
      <c r="C409" s="3" t="s">
        <v>2002</v>
      </c>
      <c r="D409" s="3" t="s">
        <v>14</v>
      </c>
      <c r="E409" s="3" t="s">
        <v>2003</v>
      </c>
      <c r="F409" s="3" t="s">
        <v>2004</v>
      </c>
      <c r="G409" s="3"/>
      <c r="H409" s="3" t="s">
        <v>2005</v>
      </c>
      <c r="I409" s="4"/>
      <c r="J409" s="4"/>
      <c r="K409" s="4"/>
      <c r="L409" s="4"/>
    </row>
    <row r="410" spans="1:12" x14ac:dyDescent="0.25">
      <c r="A410" s="2" t="str">
        <f>HYPERLINK("https://www.list-org.com/company/13756108","https://www.list-org.com/company/13756108")</f>
        <v>https://www.list-org.com/company/13756108</v>
      </c>
      <c r="B410" s="3" t="s">
        <v>2006</v>
      </c>
      <c r="C410" s="3" t="s">
        <v>2007</v>
      </c>
      <c r="D410" s="3" t="s">
        <v>14</v>
      </c>
      <c r="E410" s="3" t="s">
        <v>2008</v>
      </c>
      <c r="F410" s="3" t="s">
        <v>2009</v>
      </c>
      <c r="G410" s="3"/>
      <c r="H410" s="3" t="s">
        <v>2010</v>
      </c>
      <c r="I410" s="4"/>
      <c r="J410" s="4"/>
      <c r="K410" s="4"/>
      <c r="L410" s="4">
        <v>3208</v>
      </c>
    </row>
    <row r="411" spans="1:12" x14ac:dyDescent="0.25">
      <c r="A411" s="2" t="str">
        <f>HYPERLINK("https://www.list-org.com/company/13756109","https://www.list-org.com/company/13756109")</f>
        <v>https://www.list-org.com/company/13756109</v>
      </c>
      <c r="B411" s="3" t="s">
        <v>2011</v>
      </c>
      <c r="C411" s="3" t="s">
        <v>2012</v>
      </c>
      <c r="D411" s="3" t="s">
        <v>14</v>
      </c>
      <c r="E411" s="3" t="s">
        <v>2013</v>
      </c>
      <c r="F411" s="3" t="s">
        <v>2014</v>
      </c>
      <c r="G411" s="3"/>
      <c r="H411" s="3" t="s">
        <v>2015</v>
      </c>
      <c r="I411" s="4"/>
      <c r="J411" s="4"/>
      <c r="K411" s="4"/>
      <c r="L411" s="4"/>
    </row>
    <row r="412" spans="1:12" x14ac:dyDescent="0.25">
      <c r="A412" s="2" t="str">
        <f>HYPERLINK("https://www.list-org.com/company/13756184","https://www.list-org.com/company/13756184")</f>
        <v>https://www.list-org.com/company/13756184</v>
      </c>
      <c r="B412" s="3" t="s">
        <v>2016</v>
      </c>
      <c r="C412" s="3" t="s">
        <v>2017</v>
      </c>
      <c r="D412" s="3" t="s">
        <v>14</v>
      </c>
      <c r="E412" s="3" t="s">
        <v>2018</v>
      </c>
      <c r="F412" s="3" t="s">
        <v>2019</v>
      </c>
      <c r="G412" s="3"/>
      <c r="H412" s="3" t="s">
        <v>2020</v>
      </c>
      <c r="I412" s="4"/>
      <c r="J412" s="4"/>
      <c r="K412" s="4"/>
      <c r="L412" s="4"/>
    </row>
    <row r="413" spans="1:12" x14ac:dyDescent="0.25">
      <c r="A413" s="2" t="str">
        <f>HYPERLINK("https://www.list-org.com/company/13756254","https://www.list-org.com/company/13756254")</f>
        <v>https://www.list-org.com/company/13756254</v>
      </c>
      <c r="B413" s="3" t="s">
        <v>2021</v>
      </c>
      <c r="C413" s="3" t="s">
        <v>2022</v>
      </c>
      <c r="D413" s="3" t="s">
        <v>14</v>
      </c>
      <c r="E413" s="3" t="s">
        <v>2023</v>
      </c>
      <c r="F413" s="3" t="s">
        <v>2024</v>
      </c>
      <c r="G413" s="3"/>
      <c r="H413" s="3" t="s">
        <v>2025</v>
      </c>
      <c r="I413" s="4"/>
      <c r="J413" s="4"/>
      <c r="K413" s="4"/>
      <c r="L413" s="4"/>
    </row>
    <row r="414" spans="1:12" x14ac:dyDescent="0.25">
      <c r="A414" s="2" t="str">
        <f>HYPERLINK("https://www.list-org.com/company/13756260","https://www.list-org.com/company/13756260")</f>
        <v>https://www.list-org.com/company/13756260</v>
      </c>
      <c r="B414" s="3" t="s">
        <v>2026</v>
      </c>
      <c r="C414" s="3" t="s">
        <v>2027</v>
      </c>
      <c r="D414" s="3" t="s">
        <v>14</v>
      </c>
      <c r="E414" s="3" t="s">
        <v>2028</v>
      </c>
      <c r="F414" s="3" t="s">
        <v>2029</v>
      </c>
      <c r="G414" s="3"/>
      <c r="H414" s="3" t="s">
        <v>2030</v>
      </c>
      <c r="I414" s="4"/>
      <c r="J414" s="4"/>
      <c r="K414" s="4"/>
      <c r="L414" s="4"/>
    </row>
    <row r="415" spans="1:12" x14ac:dyDescent="0.25">
      <c r="A415" s="2" t="str">
        <f>HYPERLINK("https://www.list-org.com/company/13756272","https://www.list-org.com/company/13756272")</f>
        <v>https://www.list-org.com/company/13756272</v>
      </c>
      <c r="B415" s="3" t="s">
        <v>2031</v>
      </c>
      <c r="C415" s="3" t="s">
        <v>2032</v>
      </c>
      <c r="D415" s="3" t="s">
        <v>14</v>
      </c>
      <c r="E415" s="3" t="s">
        <v>2033</v>
      </c>
      <c r="F415" s="3" t="s">
        <v>2034</v>
      </c>
      <c r="G415" s="3"/>
      <c r="H415" s="3" t="s">
        <v>2035</v>
      </c>
      <c r="I415" s="4"/>
      <c r="J415" s="4"/>
      <c r="K415" s="4"/>
      <c r="L415" s="4"/>
    </row>
    <row r="416" spans="1:12" x14ac:dyDescent="0.25">
      <c r="A416" s="2" t="str">
        <f>HYPERLINK("https://www.list-org.com/company/13756313","https://www.list-org.com/company/13756313")</f>
        <v>https://www.list-org.com/company/13756313</v>
      </c>
      <c r="B416" s="3" t="s">
        <v>2036</v>
      </c>
      <c r="C416" s="3" t="s">
        <v>2037</v>
      </c>
      <c r="D416" s="3" t="s">
        <v>14</v>
      </c>
      <c r="E416" s="3" t="s">
        <v>2038</v>
      </c>
      <c r="F416" s="3" t="s">
        <v>2039</v>
      </c>
      <c r="G416" s="3"/>
      <c r="H416" s="3" t="s">
        <v>2040</v>
      </c>
      <c r="I416" s="4"/>
      <c r="J416" s="4"/>
      <c r="K416" s="4"/>
      <c r="L416" s="4"/>
    </row>
    <row r="417" spans="1:12" x14ac:dyDescent="0.25">
      <c r="A417" s="2" t="str">
        <f>HYPERLINK("https://www.list-org.com/company/13756326","https://www.list-org.com/company/13756326")</f>
        <v>https://www.list-org.com/company/13756326</v>
      </c>
      <c r="B417" s="3" t="s">
        <v>2041</v>
      </c>
      <c r="C417" s="3" t="s">
        <v>2042</v>
      </c>
      <c r="D417" s="3" t="s">
        <v>14</v>
      </c>
      <c r="E417" s="3" t="s">
        <v>2043</v>
      </c>
      <c r="F417" s="3" t="s">
        <v>2044</v>
      </c>
      <c r="G417" s="3"/>
      <c r="H417" s="3" t="s">
        <v>2045</v>
      </c>
      <c r="I417" s="4"/>
      <c r="J417" s="4"/>
      <c r="K417" s="4"/>
      <c r="L417" s="4"/>
    </row>
    <row r="418" spans="1:12" x14ac:dyDescent="0.25">
      <c r="A418" s="2" t="str">
        <f>HYPERLINK("https://www.list-org.com/company/13756327","https://www.list-org.com/company/13756327")</f>
        <v>https://www.list-org.com/company/13756327</v>
      </c>
      <c r="B418" s="3" t="s">
        <v>2046</v>
      </c>
      <c r="C418" s="3" t="s">
        <v>2047</v>
      </c>
      <c r="D418" s="3" t="s">
        <v>14</v>
      </c>
      <c r="E418" s="3" t="s">
        <v>2048</v>
      </c>
      <c r="F418" s="3" t="s">
        <v>2049</v>
      </c>
      <c r="G418" s="3"/>
      <c r="H418" s="3" t="s">
        <v>2050</v>
      </c>
      <c r="I418" s="4"/>
      <c r="J418" s="4"/>
      <c r="K418" s="4"/>
      <c r="L418" s="4"/>
    </row>
    <row r="419" spans="1:12" x14ac:dyDescent="0.25">
      <c r="A419" s="2" t="str">
        <f>HYPERLINK("https://www.list-org.com/company/13756329","https://www.list-org.com/company/13756329")</f>
        <v>https://www.list-org.com/company/13756329</v>
      </c>
      <c r="B419" s="3" t="s">
        <v>2051</v>
      </c>
      <c r="C419" s="3" t="s">
        <v>2052</v>
      </c>
      <c r="D419" s="3" t="s">
        <v>14</v>
      </c>
      <c r="E419" s="3" t="s">
        <v>2053</v>
      </c>
      <c r="F419" s="3" t="s">
        <v>2054</v>
      </c>
      <c r="G419" s="3"/>
      <c r="H419" s="3" t="s">
        <v>2055</v>
      </c>
      <c r="I419" s="4">
        <v>1</v>
      </c>
      <c r="J419" s="4"/>
      <c r="K419" s="4">
        <v>-321</v>
      </c>
      <c r="L419" s="4">
        <v>-321</v>
      </c>
    </row>
    <row r="420" spans="1:12" x14ac:dyDescent="0.25">
      <c r="A420" s="2" t="str">
        <f>HYPERLINK("https://www.list-org.com/company/13756333","https://www.list-org.com/company/13756333")</f>
        <v>https://www.list-org.com/company/13756333</v>
      </c>
      <c r="B420" s="3" t="s">
        <v>2056</v>
      </c>
      <c r="C420" s="3" t="s">
        <v>2057</v>
      </c>
      <c r="D420" s="3" t="s">
        <v>14</v>
      </c>
      <c r="E420" s="3" t="s">
        <v>2058</v>
      </c>
      <c r="F420" s="3" t="s">
        <v>2059</v>
      </c>
      <c r="G420" s="3"/>
      <c r="H420" s="3" t="s">
        <v>2060</v>
      </c>
      <c r="I420" s="4"/>
      <c r="J420" s="4"/>
      <c r="K420" s="4"/>
      <c r="L420" s="4"/>
    </row>
    <row r="421" spans="1:12" x14ac:dyDescent="0.25">
      <c r="A421" s="2" t="str">
        <f>HYPERLINK("https://www.list-org.com/company/13756340","https://www.list-org.com/company/13756340")</f>
        <v>https://www.list-org.com/company/13756340</v>
      </c>
      <c r="B421" s="3" t="s">
        <v>2061</v>
      </c>
      <c r="C421" s="3" t="s">
        <v>2062</v>
      </c>
      <c r="D421" s="3" t="s">
        <v>14</v>
      </c>
      <c r="E421" s="3" t="s">
        <v>2063</v>
      </c>
      <c r="F421" s="3" t="s">
        <v>2064</v>
      </c>
      <c r="G421" s="3"/>
      <c r="H421" s="3" t="s">
        <v>2065</v>
      </c>
      <c r="I421" s="4"/>
      <c r="J421" s="4"/>
      <c r="K421" s="4"/>
      <c r="L421" s="4"/>
    </row>
    <row r="422" spans="1:12" x14ac:dyDescent="0.25">
      <c r="A422" s="2" t="str">
        <f>HYPERLINK("https://www.list-org.com/company/13756382","https://www.list-org.com/company/13756382")</f>
        <v>https://www.list-org.com/company/13756382</v>
      </c>
      <c r="B422" s="3" t="s">
        <v>2066</v>
      </c>
      <c r="C422" s="3" t="s">
        <v>2067</v>
      </c>
      <c r="D422" s="3" t="s">
        <v>14</v>
      </c>
      <c r="E422" s="3" t="s">
        <v>2068</v>
      </c>
      <c r="F422" s="3" t="s">
        <v>2069</v>
      </c>
      <c r="G422" s="3"/>
      <c r="H422" s="3" t="s">
        <v>2070</v>
      </c>
      <c r="I422" s="4"/>
      <c r="J422" s="4"/>
      <c r="K422" s="4"/>
      <c r="L422" s="4"/>
    </row>
    <row r="423" spans="1:12" x14ac:dyDescent="0.25">
      <c r="A423" s="2" t="str">
        <f>HYPERLINK("https://www.list-org.com/company/13756511","https://www.list-org.com/company/13756511")</f>
        <v>https://www.list-org.com/company/13756511</v>
      </c>
      <c r="B423" s="3" t="s">
        <v>2071</v>
      </c>
      <c r="C423" s="3" t="s">
        <v>2072</v>
      </c>
      <c r="D423" s="3" t="s">
        <v>14</v>
      </c>
      <c r="E423" s="3" t="s">
        <v>2073</v>
      </c>
      <c r="F423" s="3" t="s">
        <v>2074</v>
      </c>
      <c r="G423" s="3"/>
      <c r="H423" s="3" t="s">
        <v>2075</v>
      </c>
      <c r="I423" s="4"/>
      <c r="J423" s="4"/>
      <c r="K423" s="4"/>
      <c r="L423" s="4"/>
    </row>
    <row r="424" spans="1:12" x14ac:dyDescent="0.25">
      <c r="A424" s="2" t="str">
        <f>HYPERLINK("https://www.list-org.com/company/13756543","https://www.list-org.com/company/13756543")</f>
        <v>https://www.list-org.com/company/13756543</v>
      </c>
      <c r="B424" s="3" t="s">
        <v>2076</v>
      </c>
      <c r="C424" s="3" t="s">
        <v>2077</v>
      </c>
      <c r="D424" s="3" t="s">
        <v>14</v>
      </c>
      <c r="E424" s="3" t="s">
        <v>2078</v>
      </c>
      <c r="F424" s="3" t="s">
        <v>2079</v>
      </c>
      <c r="G424" s="3"/>
      <c r="H424" s="3" t="s">
        <v>2080</v>
      </c>
      <c r="I424" s="4"/>
      <c r="J424" s="4"/>
      <c r="K424" s="4"/>
      <c r="L424" s="4"/>
    </row>
    <row r="425" spans="1:12" x14ac:dyDescent="0.25">
      <c r="A425" s="2" t="str">
        <f>HYPERLINK("https://www.list-org.com/company/13756550","https://www.list-org.com/company/13756550")</f>
        <v>https://www.list-org.com/company/13756550</v>
      </c>
      <c r="B425" s="3" t="s">
        <v>2081</v>
      </c>
      <c r="C425" s="3" t="s">
        <v>2082</v>
      </c>
      <c r="D425" s="3" t="s">
        <v>14</v>
      </c>
      <c r="E425" s="3" t="s">
        <v>2083</v>
      </c>
      <c r="F425" s="3" t="s">
        <v>2084</v>
      </c>
      <c r="G425" s="3"/>
      <c r="H425" s="3" t="s">
        <v>2085</v>
      </c>
      <c r="I425" s="4"/>
      <c r="J425" s="4"/>
      <c r="K425" s="4"/>
      <c r="L425" s="4"/>
    </row>
    <row r="426" spans="1:12" x14ac:dyDescent="0.25">
      <c r="A426" s="2" t="str">
        <f>HYPERLINK("https://www.list-org.com/company/13756584","https://www.list-org.com/company/13756584")</f>
        <v>https://www.list-org.com/company/13756584</v>
      </c>
      <c r="B426" s="3" t="s">
        <v>2086</v>
      </c>
      <c r="C426" s="3" t="s">
        <v>2087</v>
      </c>
      <c r="D426" s="3" t="s">
        <v>14</v>
      </c>
      <c r="E426" s="3" t="s">
        <v>2088</v>
      </c>
      <c r="F426" s="3" t="s">
        <v>2089</v>
      </c>
      <c r="G426" s="3"/>
      <c r="H426" s="3" t="s">
        <v>2090</v>
      </c>
      <c r="I426" s="4"/>
      <c r="J426" s="4"/>
      <c r="K426" s="4"/>
      <c r="L426" s="4"/>
    </row>
    <row r="427" spans="1:12" x14ac:dyDescent="0.25">
      <c r="A427" s="2" t="str">
        <f>HYPERLINK("https://www.list-org.com/company/13756687","https://www.list-org.com/company/13756687")</f>
        <v>https://www.list-org.com/company/13756687</v>
      </c>
      <c r="B427" s="3" t="s">
        <v>2091</v>
      </c>
      <c r="C427" s="3" t="s">
        <v>2092</v>
      </c>
      <c r="D427" s="3" t="s">
        <v>14</v>
      </c>
      <c r="E427" s="3" t="s">
        <v>2093</v>
      </c>
      <c r="F427" s="3" t="s">
        <v>2094</v>
      </c>
      <c r="G427" s="3"/>
      <c r="H427" s="3" t="s">
        <v>1725</v>
      </c>
      <c r="I427" s="4"/>
      <c r="J427" s="4"/>
      <c r="K427" s="4"/>
      <c r="L427" s="4"/>
    </row>
    <row r="428" spans="1:12" x14ac:dyDescent="0.25">
      <c r="A428" s="2" t="str">
        <f>HYPERLINK("https://www.list-org.com/company/13756916","https://www.list-org.com/company/13756916")</f>
        <v>https://www.list-org.com/company/13756916</v>
      </c>
      <c r="B428" s="3" t="s">
        <v>2095</v>
      </c>
      <c r="C428" s="3" t="s">
        <v>2096</v>
      </c>
      <c r="D428" s="3" t="s">
        <v>14</v>
      </c>
      <c r="E428" s="3" t="s">
        <v>2097</v>
      </c>
      <c r="F428" s="3" t="s">
        <v>2098</v>
      </c>
      <c r="G428" s="3"/>
      <c r="H428" s="3" t="s">
        <v>2099</v>
      </c>
      <c r="I428" s="4">
        <v>1</v>
      </c>
      <c r="J428" s="4"/>
      <c r="K428" s="4"/>
      <c r="L428" s="4">
        <v>19788</v>
      </c>
    </row>
    <row r="429" spans="1:12" x14ac:dyDescent="0.25">
      <c r="A429" s="2" t="str">
        <f>HYPERLINK("https://www.list-org.com/company/13756954","https://www.list-org.com/company/13756954")</f>
        <v>https://www.list-org.com/company/13756954</v>
      </c>
      <c r="B429" s="3" t="s">
        <v>2100</v>
      </c>
      <c r="C429" s="3" t="s">
        <v>2101</v>
      </c>
      <c r="D429" s="3" t="s">
        <v>14</v>
      </c>
      <c r="E429" s="3" t="s">
        <v>2102</v>
      </c>
      <c r="F429" s="3" t="s">
        <v>2103</v>
      </c>
      <c r="G429" s="3"/>
      <c r="H429" s="3" t="s">
        <v>2104</v>
      </c>
      <c r="I429" s="4"/>
      <c r="J429" s="4"/>
      <c r="K429" s="4"/>
      <c r="L429" s="4"/>
    </row>
    <row r="430" spans="1:12" x14ac:dyDescent="0.25">
      <c r="A430" s="2" t="str">
        <f>HYPERLINK("https://www.list-org.com/company/13757100","https://www.list-org.com/company/13757100")</f>
        <v>https://www.list-org.com/company/13757100</v>
      </c>
      <c r="B430" s="3" t="s">
        <v>2105</v>
      </c>
      <c r="C430" s="3" t="s">
        <v>2106</v>
      </c>
      <c r="D430" s="3" t="s">
        <v>14</v>
      </c>
      <c r="E430" s="3" t="s">
        <v>2107</v>
      </c>
      <c r="F430" s="3" t="s">
        <v>2108</v>
      </c>
      <c r="G430" s="3"/>
      <c r="H430" s="3" t="s">
        <v>2109</v>
      </c>
      <c r="I430" s="4"/>
      <c r="J430" s="4"/>
      <c r="K430" s="4"/>
      <c r="L430" s="4"/>
    </row>
    <row r="431" spans="1:12" x14ac:dyDescent="0.25">
      <c r="A431" s="2" t="str">
        <f>HYPERLINK("https://www.list-org.com/company/13757107","https://www.list-org.com/company/13757107")</f>
        <v>https://www.list-org.com/company/13757107</v>
      </c>
      <c r="B431" s="3" t="s">
        <v>2110</v>
      </c>
      <c r="C431" s="3" t="s">
        <v>2111</v>
      </c>
      <c r="D431" s="3" t="s">
        <v>14</v>
      </c>
      <c r="E431" s="3" t="s">
        <v>2112</v>
      </c>
      <c r="F431" s="3" t="s">
        <v>2113</v>
      </c>
      <c r="G431" s="3"/>
      <c r="H431" s="3" t="s">
        <v>1506</v>
      </c>
      <c r="I431" s="4"/>
      <c r="J431" s="4"/>
      <c r="K431" s="4"/>
      <c r="L431" s="4"/>
    </row>
    <row r="432" spans="1:12" x14ac:dyDescent="0.25">
      <c r="A432" s="2" t="str">
        <f>HYPERLINK("https://www.list-org.com/company/13757131","https://www.list-org.com/company/13757131")</f>
        <v>https://www.list-org.com/company/13757131</v>
      </c>
      <c r="B432" s="3" t="s">
        <v>2114</v>
      </c>
      <c r="C432" s="3" t="s">
        <v>2115</v>
      </c>
      <c r="D432" s="3" t="s">
        <v>14</v>
      </c>
      <c r="E432" s="3" t="s">
        <v>2116</v>
      </c>
      <c r="F432" s="3" t="s">
        <v>2117</v>
      </c>
      <c r="G432" s="3"/>
      <c r="H432" s="3" t="s">
        <v>2118</v>
      </c>
      <c r="I432" s="4"/>
      <c r="J432" s="4"/>
      <c r="K432" s="4"/>
      <c r="L432" s="4"/>
    </row>
    <row r="433" spans="1:12" x14ac:dyDescent="0.25">
      <c r="A433" s="2" t="str">
        <f>HYPERLINK("https://www.list-org.com/company/13757142","https://www.list-org.com/company/13757142")</f>
        <v>https://www.list-org.com/company/13757142</v>
      </c>
      <c r="B433" s="3" t="s">
        <v>2119</v>
      </c>
      <c r="C433" s="3" t="s">
        <v>2120</v>
      </c>
      <c r="D433" s="3" t="s">
        <v>14</v>
      </c>
      <c r="E433" s="3" t="s">
        <v>2121</v>
      </c>
      <c r="F433" s="3" t="s">
        <v>2122</v>
      </c>
      <c r="G433" s="3"/>
      <c r="H433" s="3" t="s">
        <v>1759</v>
      </c>
      <c r="I433" s="4"/>
      <c r="J433" s="4"/>
      <c r="K433" s="4"/>
      <c r="L433" s="4"/>
    </row>
    <row r="434" spans="1:12" x14ac:dyDescent="0.25">
      <c r="A434" s="2" t="str">
        <f>HYPERLINK("https://www.list-org.com/company/13757161","https://www.list-org.com/company/13757161")</f>
        <v>https://www.list-org.com/company/13757161</v>
      </c>
      <c r="B434" s="3" t="s">
        <v>2123</v>
      </c>
      <c r="C434" s="3" t="s">
        <v>2124</v>
      </c>
      <c r="D434" s="3" t="s">
        <v>14</v>
      </c>
      <c r="E434" s="3" t="s">
        <v>2125</v>
      </c>
      <c r="F434" s="3" t="s">
        <v>2126</v>
      </c>
      <c r="G434" s="3"/>
      <c r="H434" s="3" t="s">
        <v>2127</v>
      </c>
      <c r="I434" s="4"/>
      <c r="J434" s="4"/>
      <c r="K434" s="4"/>
      <c r="L434" s="4"/>
    </row>
    <row r="435" spans="1:12" x14ac:dyDescent="0.25">
      <c r="A435" s="2" t="str">
        <f>HYPERLINK("https://www.list-org.com/company/13757306","https://www.list-org.com/company/13757306")</f>
        <v>https://www.list-org.com/company/13757306</v>
      </c>
      <c r="B435" s="3" t="s">
        <v>2128</v>
      </c>
      <c r="C435" s="3" t="s">
        <v>2129</v>
      </c>
      <c r="D435" s="3" t="s">
        <v>14</v>
      </c>
      <c r="E435" s="3" t="s">
        <v>2130</v>
      </c>
      <c r="F435" s="3" t="s">
        <v>2131</v>
      </c>
      <c r="G435" s="3"/>
      <c r="H435" s="3" t="s">
        <v>2132</v>
      </c>
      <c r="I435" s="4"/>
      <c r="J435" s="4"/>
      <c r="K435" s="4"/>
      <c r="L435" s="4"/>
    </row>
    <row r="436" spans="1:12" x14ac:dyDescent="0.25">
      <c r="A436" s="2" t="str">
        <f>HYPERLINK("https://www.list-org.com/company/13757314","https://www.list-org.com/company/13757314")</f>
        <v>https://www.list-org.com/company/13757314</v>
      </c>
      <c r="B436" s="3" t="s">
        <v>2133</v>
      </c>
      <c r="C436" s="3" t="s">
        <v>2134</v>
      </c>
      <c r="D436" s="3" t="s">
        <v>14</v>
      </c>
      <c r="E436" s="3" t="s">
        <v>2135</v>
      </c>
      <c r="F436" s="3" t="s">
        <v>2136</v>
      </c>
      <c r="G436" s="3"/>
      <c r="H436" s="3" t="s">
        <v>2137</v>
      </c>
      <c r="I436" s="4"/>
      <c r="J436" s="4"/>
      <c r="K436" s="4"/>
      <c r="L436" s="4"/>
    </row>
    <row r="437" spans="1:12" x14ac:dyDescent="0.25">
      <c r="A437" s="2" t="str">
        <f>HYPERLINK("https://www.list-org.com/company/13757319","https://www.list-org.com/company/13757319")</f>
        <v>https://www.list-org.com/company/13757319</v>
      </c>
      <c r="B437" s="3" t="s">
        <v>2138</v>
      </c>
      <c r="C437" s="3" t="s">
        <v>2139</v>
      </c>
      <c r="D437" s="3" t="s">
        <v>14</v>
      </c>
      <c r="E437" s="3" t="s">
        <v>2140</v>
      </c>
      <c r="F437" s="3" t="s">
        <v>2141</v>
      </c>
      <c r="G437" s="3"/>
      <c r="H437" s="3" t="s">
        <v>2142</v>
      </c>
      <c r="I437" s="4">
        <v>1</v>
      </c>
      <c r="J437" s="4">
        <v>70</v>
      </c>
      <c r="K437" s="4">
        <v>58</v>
      </c>
      <c r="L437" s="4">
        <v>146</v>
      </c>
    </row>
    <row r="438" spans="1:12" x14ac:dyDescent="0.25">
      <c r="A438" s="2" t="str">
        <f>HYPERLINK("https://www.list-org.com/company/13757347","https://www.list-org.com/company/13757347")</f>
        <v>https://www.list-org.com/company/13757347</v>
      </c>
      <c r="B438" s="3" t="s">
        <v>2143</v>
      </c>
      <c r="C438" s="3" t="s">
        <v>2144</v>
      </c>
      <c r="D438" s="3" t="s">
        <v>14</v>
      </c>
      <c r="E438" s="3" t="s">
        <v>2145</v>
      </c>
      <c r="F438" s="3" t="s">
        <v>2146</v>
      </c>
      <c r="G438" s="3"/>
      <c r="H438" s="3" t="s">
        <v>2147</v>
      </c>
      <c r="I438" s="4"/>
      <c r="J438" s="4"/>
      <c r="K438" s="4"/>
      <c r="L438" s="4"/>
    </row>
    <row r="439" spans="1:12" x14ac:dyDescent="0.25">
      <c r="A439" s="2" t="str">
        <f>HYPERLINK("https://www.list-org.com/company/13757357","https://www.list-org.com/company/13757357")</f>
        <v>https://www.list-org.com/company/13757357</v>
      </c>
      <c r="B439" s="3" t="s">
        <v>2148</v>
      </c>
      <c r="C439" s="3" t="s">
        <v>2149</v>
      </c>
      <c r="D439" s="3" t="s">
        <v>14</v>
      </c>
      <c r="E439" s="3" t="s">
        <v>2150</v>
      </c>
      <c r="F439" s="3" t="s">
        <v>2151</v>
      </c>
      <c r="G439" s="3"/>
      <c r="H439" s="3" t="s">
        <v>2152</v>
      </c>
      <c r="I439" s="4"/>
      <c r="J439" s="4"/>
      <c r="K439" s="4"/>
      <c r="L439" s="4"/>
    </row>
    <row r="440" spans="1:12" x14ac:dyDescent="0.25">
      <c r="A440" s="2" t="str">
        <f>HYPERLINK("https://www.list-org.com/company/13757362","https://www.list-org.com/company/13757362")</f>
        <v>https://www.list-org.com/company/13757362</v>
      </c>
      <c r="B440" s="3" t="s">
        <v>2153</v>
      </c>
      <c r="C440" s="3" t="s">
        <v>2154</v>
      </c>
      <c r="D440" s="3" t="s">
        <v>14</v>
      </c>
      <c r="E440" s="3" t="s">
        <v>2155</v>
      </c>
      <c r="F440" s="3" t="s">
        <v>2156</v>
      </c>
      <c r="G440" s="3"/>
      <c r="H440" s="3" t="s">
        <v>2157</v>
      </c>
      <c r="I440" s="4"/>
      <c r="J440" s="4"/>
      <c r="K440" s="4"/>
      <c r="L440" s="4"/>
    </row>
    <row r="441" spans="1:12" x14ac:dyDescent="0.25">
      <c r="A441" s="2" t="str">
        <f>HYPERLINK("https://www.list-org.com/company/13757371","https://www.list-org.com/company/13757371")</f>
        <v>https://www.list-org.com/company/13757371</v>
      </c>
      <c r="B441" s="3" t="s">
        <v>2158</v>
      </c>
      <c r="C441" s="3" t="s">
        <v>2159</v>
      </c>
      <c r="D441" s="3" t="s">
        <v>14</v>
      </c>
      <c r="E441" s="3" t="s">
        <v>2160</v>
      </c>
      <c r="F441" s="3" t="s">
        <v>2161</v>
      </c>
      <c r="G441" s="3"/>
      <c r="H441" s="3" t="s">
        <v>2162</v>
      </c>
      <c r="I441" s="4"/>
      <c r="J441" s="4"/>
      <c r="K441" s="4"/>
      <c r="L441" s="4"/>
    </row>
    <row r="442" spans="1:12" x14ac:dyDescent="0.25">
      <c r="A442" s="2" t="str">
        <f>HYPERLINK("https://www.list-org.com/company/13757564","https://www.list-org.com/company/13757564")</f>
        <v>https://www.list-org.com/company/13757564</v>
      </c>
      <c r="B442" s="3" t="s">
        <v>2163</v>
      </c>
      <c r="C442" s="3" t="s">
        <v>2164</v>
      </c>
      <c r="D442" s="3" t="s">
        <v>14</v>
      </c>
      <c r="E442" s="3" t="s">
        <v>2165</v>
      </c>
      <c r="F442" s="3" t="s">
        <v>2166</v>
      </c>
      <c r="G442" s="3"/>
      <c r="H442" s="3" t="s">
        <v>2167</v>
      </c>
      <c r="I442" s="4"/>
      <c r="J442" s="4"/>
      <c r="K442" s="4"/>
      <c r="L442" s="4"/>
    </row>
    <row r="443" spans="1:12" x14ac:dyDescent="0.25">
      <c r="A443" s="2" t="str">
        <f>HYPERLINK("https://www.list-org.com/company/13757769","https://www.list-org.com/company/13757769")</f>
        <v>https://www.list-org.com/company/13757769</v>
      </c>
      <c r="B443" s="3" t="s">
        <v>2168</v>
      </c>
      <c r="C443" s="3" t="s">
        <v>2169</v>
      </c>
      <c r="D443" s="3" t="s">
        <v>14</v>
      </c>
      <c r="E443" s="3" t="s">
        <v>2170</v>
      </c>
      <c r="F443" s="3" t="s">
        <v>2171</v>
      </c>
      <c r="G443" s="3"/>
      <c r="H443" s="3" t="s">
        <v>1634</v>
      </c>
      <c r="I443" s="4"/>
      <c r="J443" s="4"/>
      <c r="K443" s="4"/>
      <c r="L443" s="4"/>
    </row>
    <row r="444" spans="1:12" x14ac:dyDescent="0.25">
      <c r="A444" s="2" t="str">
        <f>HYPERLINK("https://www.list-org.com/company/13757973","https://www.list-org.com/company/13757973")</f>
        <v>https://www.list-org.com/company/13757973</v>
      </c>
      <c r="B444" s="3" t="s">
        <v>2172</v>
      </c>
      <c r="C444" s="3" t="s">
        <v>2173</v>
      </c>
      <c r="D444" s="3" t="s">
        <v>14</v>
      </c>
      <c r="E444" s="3" t="s">
        <v>2174</v>
      </c>
      <c r="F444" s="3" t="s">
        <v>2175</v>
      </c>
      <c r="G444" s="3"/>
      <c r="H444" s="3" t="s">
        <v>1799</v>
      </c>
      <c r="I444" s="4"/>
      <c r="J444" s="4"/>
      <c r="K444" s="4"/>
      <c r="L444" s="4"/>
    </row>
    <row r="445" spans="1:12" x14ac:dyDescent="0.25">
      <c r="A445" s="2" t="str">
        <f>HYPERLINK("https://www.list-org.com/company/13758035","https://www.list-org.com/company/13758035")</f>
        <v>https://www.list-org.com/company/13758035</v>
      </c>
      <c r="B445" s="3" t="s">
        <v>2176</v>
      </c>
      <c r="C445" s="3" t="s">
        <v>2177</v>
      </c>
      <c r="D445" s="3" t="s">
        <v>14</v>
      </c>
      <c r="E445" s="3" t="s">
        <v>2178</v>
      </c>
      <c r="F445" s="3" t="s">
        <v>2179</v>
      </c>
      <c r="G445" s="3"/>
      <c r="H445" s="3" t="s">
        <v>2127</v>
      </c>
      <c r="I445" s="4"/>
      <c r="J445" s="4"/>
      <c r="K445" s="4"/>
      <c r="L445" s="4"/>
    </row>
    <row r="446" spans="1:12" x14ac:dyDescent="0.25">
      <c r="A446" s="2" t="str">
        <f>HYPERLINK("https://www.list-org.com/company/13758067","https://www.list-org.com/company/13758067")</f>
        <v>https://www.list-org.com/company/13758067</v>
      </c>
      <c r="B446" s="3" t="s">
        <v>2180</v>
      </c>
      <c r="C446" s="3" t="s">
        <v>2181</v>
      </c>
      <c r="D446" s="3" t="s">
        <v>14</v>
      </c>
      <c r="E446" s="3" t="s">
        <v>2182</v>
      </c>
      <c r="F446" s="3" t="s">
        <v>2183</v>
      </c>
      <c r="G446" s="3"/>
      <c r="H446" s="3" t="s">
        <v>2184</v>
      </c>
      <c r="I446" s="4">
        <v>1</v>
      </c>
      <c r="J446" s="4"/>
      <c r="K446" s="4">
        <v>-1</v>
      </c>
      <c r="L446" s="4">
        <v>659</v>
      </c>
    </row>
    <row r="447" spans="1:12" x14ac:dyDescent="0.25">
      <c r="A447" s="2" t="str">
        <f>HYPERLINK("https://www.list-org.com/company/13758149","https://www.list-org.com/company/13758149")</f>
        <v>https://www.list-org.com/company/13758149</v>
      </c>
      <c r="B447" s="3" t="s">
        <v>2185</v>
      </c>
      <c r="C447" s="3" t="s">
        <v>2186</v>
      </c>
      <c r="D447" s="3" t="s">
        <v>14</v>
      </c>
      <c r="E447" s="3" t="s">
        <v>2187</v>
      </c>
      <c r="F447" s="3" t="s">
        <v>2188</v>
      </c>
      <c r="G447" s="3"/>
      <c r="H447" s="3" t="s">
        <v>2189</v>
      </c>
      <c r="I447" s="4"/>
      <c r="J447" s="4"/>
      <c r="K447" s="4"/>
      <c r="L447" s="4"/>
    </row>
    <row r="448" spans="1:12" x14ac:dyDescent="0.25">
      <c r="A448" s="2" t="str">
        <f>HYPERLINK("https://www.list-org.com/company/13758377","https://www.list-org.com/company/13758377")</f>
        <v>https://www.list-org.com/company/13758377</v>
      </c>
      <c r="B448" s="3" t="s">
        <v>2190</v>
      </c>
      <c r="C448" s="3" t="s">
        <v>2191</v>
      </c>
      <c r="D448" s="3" t="s">
        <v>14</v>
      </c>
      <c r="E448" s="3" t="s">
        <v>2192</v>
      </c>
      <c r="F448" s="3" t="s">
        <v>2193</v>
      </c>
      <c r="G448" s="3"/>
      <c r="H448" s="3" t="s">
        <v>2194</v>
      </c>
      <c r="I448" s="4"/>
      <c r="J448" s="4"/>
      <c r="K448" s="4"/>
      <c r="L448" s="4"/>
    </row>
    <row r="449" spans="1:12" x14ac:dyDescent="0.25">
      <c r="A449" s="2" t="str">
        <f>HYPERLINK("https://www.list-org.com/company/13758409","https://www.list-org.com/company/13758409")</f>
        <v>https://www.list-org.com/company/13758409</v>
      </c>
      <c r="B449" s="3" t="s">
        <v>2195</v>
      </c>
      <c r="C449" s="3" t="s">
        <v>2196</v>
      </c>
      <c r="D449" s="3" t="s">
        <v>14</v>
      </c>
      <c r="E449" s="3" t="s">
        <v>2197</v>
      </c>
      <c r="F449" s="3" t="s">
        <v>2198</v>
      </c>
      <c r="G449" s="3"/>
      <c r="H449" s="3" t="s">
        <v>1496</v>
      </c>
      <c r="I449" s="4"/>
      <c r="J449" s="4"/>
      <c r="K449" s="4"/>
      <c r="L449" s="4"/>
    </row>
    <row r="450" spans="1:12" x14ac:dyDescent="0.25">
      <c r="A450" s="2" t="str">
        <f>HYPERLINK("https://www.list-org.com/company/13758429","https://www.list-org.com/company/13758429")</f>
        <v>https://www.list-org.com/company/13758429</v>
      </c>
      <c r="B450" s="3" t="s">
        <v>2199</v>
      </c>
      <c r="C450" s="3" t="s">
        <v>2200</v>
      </c>
      <c r="D450" s="3" t="s">
        <v>14</v>
      </c>
      <c r="E450" s="3" t="s">
        <v>2201</v>
      </c>
      <c r="F450" s="3" t="s">
        <v>2202</v>
      </c>
      <c r="G450" s="3"/>
      <c r="H450" s="3" t="s">
        <v>2203</v>
      </c>
      <c r="I450" s="4"/>
      <c r="J450" s="4"/>
      <c r="K450" s="4"/>
      <c r="L450" s="4"/>
    </row>
    <row r="451" spans="1:12" x14ac:dyDescent="0.25">
      <c r="A451" s="2" t="str">
        <f>HYPERLINK("https://www.list-org.com/company/13759261","https://www.list-org.com/company/13759261")</f>
        <v>https://www.list-org.com/company/13759261</v>
      </c>
      <c r="B451" s="3" t="s">
        <v>2204</v>
      </c>
      <c r="C451" s="3" t="s">
        <v>2205</v>
      </c>
      <c r="D451" s="3" t="s">
        <v>14</v>
      </c>
      <c r="E451" s="3" t="s">
        <v>2206</v>
      </c>
      <c r="F451" s="3" t="s">
        <v>2207</v>
      </c>
      <c r="G451" s="3"/>
      <c r="H451" s="3" t="s">
        <v>2208</v>
      </c>
      <c r="I451" s="4"/>
      <c r="J451" s="4"/>
      <c r="K451" s="4"/>
      <c r="L451" s="4"/>
    </row>
    <row r="452" spans="1:12" x14ac:dyDescent="0.25">
      <c r="A452" s="2" t="str">
        <f>HYPERLINK("https://www.list-org.com/company/13759336","https://www.list-org.com/company/13759336")</f>
        <v>https://www.list-org.com/company/13759336</v>
      </c>
      <c r="B452" s="3" t="s">
        <v>2209</v>
      </c>
      <c r="C452" s="3" t="s">
        <v>2210</v>
      </c>
      <c r="D452" s="3" t="s">
        <v>14</v>
      </c>
      <c r="E452" s="3" t="s">
        <v>2211</v>
      </c>
      <c r="F452" s="3" t="s">
        <v>2212</v>
      </c>
      <c r="G452" s="3"/>
      <c r="H452" s="3" t="s">
        <v>943</v>
      </c>
      <c r="I452" s="4"/>
      <c r="J452" s="4"/>
      <c r="K452" s="4"/>
      <c r="L452" s="4"/>
    </row>
    <row r="453" spans="1:12" x14ac:dyDescent="0.25">
      <c r="A453" s="2" t="str">
        <f>HYPERLINK("https://www.list-org.com/company/13759422","https://www.list-org.com/company/13759422")</f>
        <v>https://www.list-org.com/company/13759422</v>
      </c>
      <c r="B453" s="3" t="s">
        <v>2213</v>
      </c>
      <c r="C453" s="3" t="s">
        <v>2214</v>
      </c>
      <c r="D453" s="3" t="s">
        <v>14</v>
      </c>
      <c r="E453" s="3" t="s">
        <v>2215</v>
      </c>
      <c r="F453" s="3" t="s">
        <v>2216</v>
      </c>
      <c r="G453" s="3"/>
      <c r="H453" s="3" t="s">
        <v>2217</v>
      </c>
      <c r="I453" s="4"/>
      <c r="J453" s="4"/>
      <c r="K453" s="4"/>
      <c r="L453" s="4"/>
    </row>
    <row r="454" spans="1:12" x14ac:dyDescent="0.25">
      <c r="A454" s="2" t="str">
        <f>HYPERLINK("https://www.list-org.com/company/13759528","https://www.list-org.com/company/13759528")</f>
        <v>https://www.list-org.com/company/13759528</v>
      </c>
      <c r="B454" s="3" t="s">
        <v>2218</v>
      </c>
      <c r="C454" s="3" t="s">
        <v>2219</v>
      </c>
      <c r="D454" s="3" t="s">
        <v>14</v>
      </c>
      <c r="E454" s="3" t="s">
        <v>2220</v>
      </c>
      <c r="F454" s="3" t="s">
        <v>2221</v>
      </c>
      <c r="G454" s="3"/>
      <c r="H454" s="3" t="s">
        <v>2222</v>
      </c>
      <c r="I454" s="4"/>
      <c r="J454" s="4"/>
      <c r="K454" s="4"/>
      <c r="L454" s="4"/>
    </row>
    <row r="455" spans="1:12" x14ac:dyDescent="0.25">
      <c r="A455" s="2" t="str">
        <f>HYPERLINK("https://www.list-org.com/company/13759845","https://www.list-org.com/company/13759845")</f>
        <v>https://www.list-org.com/company/13759845</v>
      </c>
      <c r="B455" s="3" t="s">
        <v>2223</v>
      </c>
      <c r="C455" s="3" t="s">
        <v>2224</v>
      </c>
      <c r="D455" s="3" t="s">
        <v>14</v>
      </c>
      <c r="E455" s="3" t="s">
        <v>2225</v>
      </c>
      <c r="F455" s="3" t="s">
        <v>2226</v>
      </c>
      <c r="G455" s="3"/>
      <c r="H455" s="3" t="s">
        <v>1565</v>
      </c>
      <c r="I455" s="4"/>
      <c r="J455" s="4"/>
      <c r="K455" s="4"/>
      <c r="L455" s="4"/>
    </row>
    <row r="456" spans="1:12" x14ac:dyDescent="0.25">
      <c r="A456" s="2" t="str">
        <f>HYPERLINK("https://www.list-org.com/company/13760215","https://www.list-org.com/company/13760215")</f>
        <v>https://www.list-org.com/company/13760215</v>
      </c>
      <c r="B456" s="3" t="s">
        <v>2227</v>
      </c>
      <c r="C456" s="3" t="s">
        <v>2228</v>
      </c>
      <c r="D456" s="3" t="s">
        <v>14</v>
      </c>
      <c r="E456" s="3" t="s">
        <v>2229</v>
      </c>
      <c r="F456" s="3" t="s">
        <v>2230</v>
      </c>
      <c r="G456" s="3"/>
      <c r="H456" s="3" t="s">
        <v>2231</v>
      </c>
      <c r="I456" s="4"/>
      <c r="J456" s="4"/>
      <c r="K456" s="4"/>
      <c r="L456" s="4"/>
    </row>
    <row r="457" spans="1:12" x14ac:dyDescent="0.25">
      <c r="A457" s="2" t="str">
        <f>HYPERLINK("https://www.list-org.com/company/13760233","https://www.list-org.com/company/13760233")</f>
        <v>https://www.list-org.com/company/13760233</v>
      </c>
      <c r="B457" s="3" t="s">
        <v>2232</v>
      </c>
      <c r="C457" s="3" t="s">
        <v>2233</v>
      </c>
      <c r="D457" s="3" t="s">
        <v>14</v>
      </c>
      <c r="E457" s="3" t="s">
        <v>2234</v>
      </c>
      <c r="F457" s="3" t="s">
        <v>2235</v>
      </c>
      <c r="G457" s="3"/>
      <c r="H457" s="3" t="s">
        <v>1236</v>
      </c>
      <c r="I457" s="4"/>
      <c r="J457" s="4"/>
      <c r="K457" s="4"/>
      <c r="L457" s="4"/>
    </row>
    <row r="458" spans="1:12" x14ac:dyDescent="0.25">
      <c r="A458" s="2" t="str">
        <f>HYPERLINK("https://www.list-org.com/company/13760654","https://www.list-org.com/company/13760654")</f>
        <v>https://www.list-org.com/company/13760654</v>
      </c>
      <c r="B458" s="3" t="s">
        <v>2236</v>
      </c>
      <c r="C458" s="3" t="s">
        <v>2237</v>
      </c>
      <c r="D458" s="3" t="s">
        <v>14</v>
      </c>
      <c r="E458" s="3" t="s">
        <v>2238</v>
      </c>
      <c r="F458" s="3" t="s">
        <v>2239</v>
      </c>
      <c r="G458" s="3"/>
      <c r="H458" s="3" t="s">
        <v>2240</v>
      </c>
      <c r="I458" s="4"/>
      <c r="J458" s="4"/>
      <c r="K458" s="4"/>
      <c r="L458" s="4"/>
    </row>
    <row r="459" spans="1:12" x14ac:dyDescent="0.25">
      <c r="A459" s="2" t="str">
        <f>HYPERLINK("https://www.list-org.com/company/13760803","https://www.list-org.com/company/13760803")</f>
        <v>https://www.list-org.com/company/13760803</v>
      </c>
      <c r="B459" s="3" t="s">
        <v>2241</v>
      </c>
      <c r="C459" s="3" t="s">
        <v>2242</v>
      </c>
      <c r="D459" s="3" t="s">
        <v>14</v>
      </c>
      <c r="E459" s="3" t="s">
        <v>2243</v>
      </c>
      <c r="F459" s="3" t="s">
        <v>2244</v>
      </c>
      <c r="G459" s="3"/>
      <c r="H459" s="3" t="s">
        <v>2245</v>
      </c>
      <c r="I459" s="4"/>
      <c r="J459" s="4"/>
      <c r="K459" s="4"/>
      <c r="L459" s="4"/>
    </row>
    <row r="460" spans="1:12" x14ac:dyDescent="0.25">
      <c r="A460" s="2" t="str">
        <f>HYPERLINK("https://www.list-org.com/company/13760908","https://www.list-org.com/company/13760908")</f>
        <v>https://www.list-org.com/company/13760908</v>
      </c>
      <c r="B460" s="3" t="s">
        <v>2246</v>
      </c>
      <c r="C460" s="3" t="s">
        <v>2247</v>
      </c>
      <c r="D460" s="3" t="s">
        <v>14</v>
      </c>
      <c r="E460" s="3" t="s">
        <v>2248</v>
      </c>
      <c r="F460" s="3" t="s">
        <v>2249</v>
      </c>
      <c r="G460" s="3"/>
      <c r="H460" s="3" t="s">
        <v>1634</v>
      </c>
      <c r="I460" s="4">
        <v>1</v>
      </c>
      <c r="J460" s="4"/>
      <c r="K460" s="4"/>
      <c r="L460" s="4"/>
    </row>
    <row r="461" spans="1:12" x14ac:dyDescent="0.25">
      <c r="A461" s="2" t="str">
        <f>HYPERLINK("https://www.list-org.com/company/13761269","https://www.list-org.com/company/13761269")</f>
        <v>https://www.list-org.com/company/13761269</v>
      </c>
      <c r="B461" s="3" t="s">
        <v>2250</v>
      </c>
      <c r="C461" s="3" t="s">
        <v>2251</v>
      </c>
      <c r="D461" s="3" t="s">
        <v>14</v>
      </c>
      <c r="E461" s="3" t="s">
        <v>2252</v>
      </c>
      <c r="F461" s="3" t="s">
        <v>2253</v>
      </c>
      <c r="G461" s="3"/>
      <c r="H461" s="3" t="s">
        <v>2254</v>
      </c>
      <c r="I461" s="4"/>
      <c r="J461" s="4"/>
      <c r="K461" s="4"/>
      <c r="L461" s="4"/>
    </row>
    <row r="462" spans="1:12" x14ac:dyDescent="0.25">
      <c r="A462" s="2" t="str">
        <f>HYPERLINK("https://www.list-org.com/company/13761471","https://www.list-org.com/company/13761471")</f>
        <v>https://www.list-org.com/company/13761471</v>
      </c>
      <c r="B462" s="3" t="s">
        <v>2255</v>
      </c>
      <c r="C462" s="3" t="s">
        <v>2256</v>
      </c>
      <c r="D462" s="3" t="s">
        <v>14</v>
      </c>
      <c r="E462" s="3" t="s">
        <v>2257</v>
      </c>
      <c r="F462" s="3" t="s">
        <v>2258</v>
      </c>
      <c r="G462" s="3"/>
      <c r="H462" s="3" t="s">
        <v>2104</v>
      </c>
      <c r="I462" s="4"/>
      <c r="J462" s="4"/>
      <c r="K462" s="4"/>
      <c r="L462" s="4"/>
    </row>
    <row r="463" spans="1:12" x14ac:dyDescent="0.25">
      <c r="A463" s="2" t="str">
        <f>HYPERLINK("https://www.list-org.com/company/13761576","https://www.list-org.com/company/13761576")</f>
        <v>https://www.list-org.com/company/13761576</v>
      </c>
      <c r="B463" s="3" t="s">
        <v>2259</v>
      </c>
      <c r="C463" s="3" t="s">
        <v>2260</v>
      </c>
      <c r="D463" s="3" t="s">
        <v>14</v>
      </c>
      <c r="E463" s="3" t="s">
        <v>2261</v>
      </c>
      <c r="F463" s="3" t="s">
        <v>2262</v>
      </c>
      <c r="G463" s="3"/>
      <c r="H463" s="3" t="s">
        <v>1178</v>
      </c>
      <c r="I463" s="4"/>
      <c r="J463" s="4"/>
      <c r="K463" s="4"/>
      <c r="L463" s="4"/>
    </row>
    <row r="464" spans="1:12" x14ac:dyDescent="0.25">
      <c r="A464" s="2" t="str">
        <f>HYPERLINK("https://www.list-org.com/company/13761577","https://www.list-org.com/company/13761577")</f>
        <v>https://www.list-org.com/company/13761577</v>
      </c>
      <c r="B464" s="3" t="s">
        <v>2263</v>
      </c>
      <c r="C464" s="3" t="s">
        <v>2264</v>
      </c>
      <c r="D464" s="3" t="s">
        <v>14</v>
      </c>
      <c r="E464" s="3" t="s">
        <v>2265</v>
      </c>
      <c r="F464" s="3" t="s">
        <v>2266</v>
      </c>
      <c r="G464" s="3"/>
      <c r="H464" s="3" t="s">
        <v>2000</v>
      </c>
      <c r="I464" s="4"/>
      <c r="J464" s="4"/>
      <c r="K464" s="4"/>
      <c r="L464" s="4"/>
    </row>
    <row r="465" spans="1:12" x14ac:dyDescent="0.25">
      <c r="A465" s="2" t="str">
        <f>HYPERLINK("https://www.list-org.com/company/13762019","https://www.list-org.com/company/13762019")</f>
        <v>https://www.list-org.com/company/13762019</v>
      </c>
      <c r="B465" s="3" t="s">
        <v>2267</v>
      </c>
      <c r="C465" s="3" t="s">
        <v>2268</v>
      </c>
      <c r="D465" s="3" t="s">
        <v>14</v>
      </c>
      <c r="E465" s="3" t="s">
        <v>2269</v>
      </c>
      <c r="F465" s="3" t="s">
        <v>2270</v>
      </c>
      <c r="G465" s="3"/>
      <c r="H465" s="3" t="s">
        <v>2271</v>
      </c>
      <c r="I465" s="4"/>
      <c r="J465" s="4"/>
      <c r="K465" s="4"/>
      <c r="L465" s="4"/>
    </row>
    <row r="466" spans="1:12" x14ac:dyDescent="0.25">
      <c r="A466" s="2" t="str">
        <f>HYPERLINK("https://www.list-org.com/company/13762214","https://www.list-org.com/company/13762214")</f>
        <v>https://www.list-org.com/company/13762214</v>
      </c>
      <c r="B466" s="3" t="s">
        <v>2272</v>
      </c>
      <c r="C466" s="3" t="s">
        <v>2273</v>
      </c>
      <c r="D466" s="3" t="s">
        <v>14</v>
      </c>
      <c r="E466" s="3" t="s">
        <v>2274</v>
      </c>
      <c r="F466" s="3" t="s">
        <v>2275</v>
      </c>
      <c r="G466" s="3"/>
      <c r="H466" s="3" t="s">
        <v>2276</v>
      </c>
      <c r="I466" s="4"/>
      <c r="J466" s="4"/>
      <c r="K466" s="4"/>
      <c r="L466" s="4"/>
    </row>
    <row r="467" spans="1:12" x14ac:dyDescent="0.25">
      <c r="A467" s="2" t="str">
        <f>HYPERLINK("https://www.list-org.com/company/13762227","https://www.list-org.com/company/13762227")</f>
        <v>https://www.list-org.com/company/13762227</v>
      </c>
      <c r="B467" s="3" t="s">
        <v>2277</v>
      </c>
      <c r="C467" s="3" t="s">
        <v>2278</v>
      </c>
      <c r="D467" s="3" t="s">
        <v>14</v>
      </c>
      <c r="E467" s="3" t="s">
        <v>2279</v>
      </c>
      <c r="F467" s="3" t="s">
        <v>2280</v>
      </c>
      <c r="G467" s="3"/>
      <c r="H467" s="3" t="s">
        <v>2281</v>
      </c>
      <c r="I467" s="4"/>
      <c r="J467" s="4"/>
      <c r="K467" s="4"/>
      <c r="L467" s="4"/>
    </row>
    <row r="468" spans="1:12" x14ac:dyDescent="0.25">
      <c r="A468" s="2" t="str">
        <f>HYPERLINK("https://www.list-org.com/company/13762314","https://www.list-org.com/company/13762314")</f>
        <v>https://www.list-org.com/company/13762314</v>
      </c>
      <c r="B468" s="3" t="s">
        <v>2282</v>
      </c>
      <c r="C468" s="3" t="s">
        <v>2283</v>
      </c>
      <c r="D468" s="3" t="s">
        <v>14</v>
      </c>
      <c r="E468" s="3" t="s">
        <v>2284</v>
      </c>
      <c r="F468" s="3" t="s">
        <v>2285</v>
      </c>
      <c r="G468" s="3"/>
      <c r="H468" s="3" t="s">
        <v>2286</v>
      </c>
      <c r="I468" s="4"/>
      <c r="J468" s="4"/>
      <c r="K468" s="4"/>
      <c r="L468" s="4"/>
    </row>
    <row r="469" spans="1:12" x14ac:dyDescent="0.25">
      <c r="A469" s="2" t="str">
        <f>HYPERLINK("https://www.list-org.com/company/13762753","https://www.list-org.com/company/13762753")</f>
        <v>https://www.list-org.com/company/13762753</v>
      </c>
      <c r="B469" s="3" t="s">
        <v>2287</v>
      </c>
      <c r="C469" s="3" t="s">
        <v>2288</v>
      </c>
      <c r="D469" s="3" t="s">
        <v>14</v>
      </c>
      <c r="E469" s="3" t="s">
        <v>2289</v>
      </c>
      <c r="F469" s="3" t="s">
        <v>2290</v>
      </c>
      <c r="G469" s="3"/>
      <c r="H469" s="3" t="s">
        <v>2208</v>
      </c>
      <c r="I469" s="4">
        <v>1</v>
      </c>
      <c r="J469" s="4"/>
      <c r="K469" s="4"/>
      <c r="L469" s="4"/>
    </row>
    <row r="470" spans="1:12" x14ac:dyDescent="0.25">
      <c r="A470" s="2" t="str">
        <f>HYPERLINK("https://www.list-org.com/company/13762845","https://www.list-org.com/company/13762845")</f>
        <v>https://www.list-org.com/company/13762845</v>
      </c>
      <c r="B470" s="3" t="s">
        <v>2291</v>
      </c>
      <c r="C470" s="3" t="s">
        <v>2292</v>
      </c>
      <c r="D470" s="3" t="s">
        <v>14</v>
      </c>
      <c r="E470" s="3" t="s">
        <v>2293</v>
      </c>
      <c r="F470" s="3" t="s">
        <v>2294</v>
      </c>
      <c r="G470" s="3"/>
      <c r="H470" s="3" t="s">
        <v>2295</v>
      </c>
      <c r="I470" s="4"/>
      <c r="J470" s="4"/>
      <c r="K470" s="4"/>
      <c r="L470" s="4"/>
    </row>
    <row r="471" spans="1:12" x14ac:dyDescent="0.25">
      <c r="A471" s="2" t="str">
        <f>HYPERLINK("https://www.list-org.com/company/13763020","https://www.list-org.com/company/13763020")</f>
        <v>https://www.list-org.com/company/13763020</v>
      </c>
      <c r="B471" s="3" t="s">
        <v>2296</v>
      </c>
      <c r="C471" s="3" t="s">
        <v>2297</v>
      </c>
      <c r="D471" s="3" t="s">
        <v>14</v>
      </c>
      <c r="E471" s="3" t="s">
        <v>2298</v>
      </c>
      <c r="F471" s="3" t="s">
        <v>2299</v>
      </c>
      <c r="G471" s="3"/>
      <c r="H471" s="3" t="s">
        <v>1897</v>
      </c>
      <c r="I471" s="4"/>
      <c r="J471" s="4"/>
      <c r="K471" s="4"/>
      <c r="L471" s="4"/>
    </row>
    <row r="472" spans="1:12" x14ac:dyDescent="0.25">
      <c r="A472" s="2" t="str">
        <f>HYPERLINK("https://www.list-org.com/company/13763151","https://www.list-org.com/company/13763151")</f>
        <v>https://www.list-org.com/company/13763151</v>
      </c>
      <c r="B472" s="3" t="s">
        <v>2300</v>
      </c>
      <c r="C472" s="3" t="s">
        <v>2301</v>
      </c>
      <c r="D472" s="3" t="s">
        <v>14</v>
      </c>
      <c r="E472" s="3" t="s">
        <v>2302</v>
      </c>
      <c r="F472" s="3" t="s">
        <v>2303</v>
      </c>
      <c r="G472" s="3"/>
      <c r="H472" s="3" t="s">
        <v>2304</v>
      </c>
      <c r="I472" s="4"/>
      <c r="J472" s="4"/>
      <c r="K472" s="4"/>
      <c r="L472" s="4"/>
    </row>
    <row r="473" spans="1:12" x14ac:dyDescent="0.25">
      <c r="A473" s="2" t="str">
        <f>HYPERLINK("https://www.list-org.com/company/13763479","https://www.list-org.com/company/13763479")</f>
        <v>https://www.list-org.com/company/13763479</v>
      </c>
      <c r="B473" s="3" t="s">
        <v>2305</v>
      </c>
      <c r="C473" s="3" t="s">
        <v>2306</v>
      </c>
      <c r="D473" s="3" t="s">
        <v>14</v>
      </c>
      <c r="E473" s="3" t="s">
        <v>2307</v>
      </c>
      <c r="F473" s="3" t="s">
        <v>2308</v>
      </c>
      <c r="G473" s="3"/>
      <c r="H473" s="3" t="s">
        <v>51</v>
      </c>
      <c r="I473" s="4"/>
      <c r="J473" s="4"/>
      <c r="K473" s="4"/>
      <c r="L473" s="4"/>
    </row>
    <row r="474" spans="1:12" x14ac:dyDescent="0.25">
      <c r="A474" s="2" t="str">
        <f>HYPERLINK("https://www.list-org.com/company/13763493","https://www.list-org.com/company/13763493")</f>
        <v>https://www.list-org.com/company/13763493</v>
      </c>
      <c r="B474" s="3" t="s">
        <v>2309</v>
      </c>
      <c r="C474" s="3" t="s">
        <v>2310</v>
      </c>
      <c r="D474" s="3" t="s">
        <v>14</v>
      </c>
      <c r="E474" s="3" t="s">
        <v>2311</v>
      </c>
      <c r="F474" s="3" t="s">
        <v>2312</v>
      </c>
      <c r="G474" s="3"/>
      <c r="H474" s="3" t="s">
        <v>2313</v>
      </c>
      <c r="I474" s="4"/>
      <c r="J474" s="4"/>
      <c r="K474" s="4"/>
      <c r="L474" s="4"/>
    </row>
    <row r="475" spans="1:12" x14ac:dyDescent="0.25">
      <c r="A475" s="2" t="str">
        <f>HYPERLINK("https://www.list-org.com/company/13763580","https://www.list-org.com/company/13763580")</f>
        <v>https://www.list-org.com/company/13763580</v>
      </c>
      <c r="B475" s="3" t="s">
        <v>2314</v>
      </c>
      <c r="C475" s="3" t="s">
        <v>2315</v>
      </c>
      <c r="D475" s="3" t="s">
        <v>14</v>
      </c>
      <c r="E475" s="3" t="s">
        <v>2316</v>
      </c>
      <c r="F475" s="3" t="s">
        <v>2317</v>
      </c>
      <c r="G475" s="3"/>
      <c r="H475" s="3" t="s">
        <v>1060</v>
      </c>
      <c r="I475" s="4"/>
      <c r="J475" s="4"/>
      <c r="K475" s="4"/>
      <c r="L475" s="4"/>
    </row>
    <row r="476" spans="1:12" x14ac:dyDescent="0.25">
      <c r="A476" s="2" t="str">
        <f>HYPERLINK("https://www.list-org.com/company/13763721","https://www.list-org.com/company/13763721")</f>
        <v>https://www.list-org.com/company/13763721</v>
      </c>
      <c r="B476" s="3" t="s">
        <v>2318</v>
      </c>
      <c r="C476" s="3" t="s">
        <v>2319</v>
      </c>
      <c r="D476" s="3" t="s">
        <v>14</v>
      </c>
      <c r="E476" s="3" t="s">
        <v>2320</v>
      </c>
      <c r="F476" s="3" t="s">
        <v>2321</v>
      </c>
      <c r="G476" s="3"/>
      <c r="H476" s="3" t="s">
        <v>2322</v>
      </c>
      <c r="I476" s="4"/>
      <c r="J476" s="4"/>
      <c r="K476" s="4"/>
      <c r="L476" s="4"/>
    </row>
    <row r="477" spans="1:12" x14ac:dyDescent="0.25">
      <c r="A477" s="2" t="str">
        <f>HYPERLINK("https://www.list-org.com/company/13763952","https://www.list-org.com/company/13763952")</f>
        <v>https://www.list-org.com/company/13763952</v>
      </c>
      <c r="B477" s="3" t="s">
        <v>2323</v>
      </c>
      <c r="C477" s="3" t="s">
        <v>2324</v>
      </c>
      <c r="D477" s="3" t="s">
        <v>14</v>
      </c>
      <c r="E477" s="3" t="s">
        <v>2325</v>
      </c>
      <c r="F477" s="3" t="s">
        <v>2326</v>
      </c>
      <c r="G477" s="3"/>
      <c r="H477" s="3" t="s">
        <v>2327</v>
      </c>
      <c r="I477" s="4"/>
      <c r="J477" s="4"/>
      <c r="K477" s="4"/>
      <c r="L477" s="4"/>
    </row>
    <row r="478" spans="1:12" x14ac:dyDescent="0.25">
      <c r="A478" s="2" t="str">
        <f>HYPERLINK("https://www.list-org.com/company/13764504","https://www.list-org.com/company/13764504")</f>
        <v>https://www.list-org.com/company/13764504</v>
      </c>
      <c r="B478" s="3" t="s">
        <v>2328</v>
      </c>
      <c r="C478" s="3" t="s">
        <v>2329</v>
      </c>
      <c r="D478" s="3" t="s">
        <v>14</v>
      </c>
      <c r="E478" s="3" t="s">
        <v>2330</v>
      </c>
      <c r="F478" s="3" t="s">
        <v>2331</v>
      </c>
      <c r="G478" s="3"/>
      <c r="H478" s="3" t="s">
        <v>2332</v>
      </c>
      <c r="I478" s="4"/>
      <c r="J478" s="4"/>
      <c r="K478" s="4"/>
      <c r="L478" s="4"/>
    </row>
    <row r="479" spans="1:12" x14ac:dyDescent="0.25">
      <c r="A479" s="2" t="str">
        <f>HYPERLINK("https://www.list-org.com/company/13764542","https://www.list-org.com/company/13764542")</f>
        <v>https://www.list-org.com/company/13764542</v>
      </c>
      <c r="B479" s="3" t="s">
        <v>2333</v>
      </c>
      <c r="C479" s="3" t="s">
        <v>2334</v>
      </c>
      <c r="D479" s="3" t="s">
        <v>14</v>
      </c>
      <c r="E479" s="3" t="s">
        <v>2335</v>
      </c>
      <c r="F479" s="3" t="s">
        <v>2336</v>
      </c>
      <c r="G479" s="3"/>
      <c r="H479" s="3" t="s">
        <v>2337</v>
      </c>
      <c r="I479" s="4"/>
      <c r="J479" s="4"/>
      <c r="K479" s="4"/>
      <c r="L479" s="4"/>
    </row>
    <row r="480" spans="1:12" x14ac:dyDescent="0.25">
      <c r="A480" s="2" t="str">
        <f>HYPERLINK("https://www.list-org.com/company/13764547","https://www.list-org.com/company/13764547")</f>
        <v>https://www.list-org.com/company/13764547</v>
      </c>
      <c r="B480" s="3" t="s">
        <v>2338</v>
      </c>
      <c r="C480" s="3" t="s">
        <v>2339</v>
      </c>
      <c r="D480" s="3" t="s">
        <v>14</v>
      </c>
      <c r="E480" s="3" t="s">
        <v>2340</v>
      </c>
      <c r="F480" s="3" t="s">
        <v>2341</v>
      </c>
      <c r="G480" s="3"/>
      <c r="H480" s="3" t="s">
        <v>2342</v>
      </c>
      <c r="I480" s="4"/>
      <c r="J480" s="4"/>
      <c r="K480" s="4"/>
      <c r="L480" s="4"/>
    </row>
    <row r="481" spans="1:12" x14ac:dyDescent="0.25">
      <c r="A481" s="2" t="str">
        <f>HYPERLINK("https://www.list-org.com/company/13764555","https://www.list-org.com/company/13764555")</f>
        <v>https://www.list-org.com/company/13764555</v>
      </c>
      <c r="B481" s="3" t="s">
        <v>2343</v>
      </c>
      <c r="C481" s="3" t="s">
        <v>2344</v>
      </c>
      <c r="D481" s="3" t="s">
        <v>14</v>
      </c>
      <c r="E481" s="3" t="s">
        <v>2345</v>
      </c>
      <c r="F481" s="3" t="s">
        <v>2346</v>
      </c>
      <c r="G481" s="3"/>
      <c r="H481" s="3" t="s">
        <v>2347</v>
      </c>
      <c r="I481" s="4"/>
      <c r="J481" s="4"/>
      <c r="K481" s="4"/>
      <c r="L481" s="4"/>
    </row>
    <row r="482" spans="1:12" x14ac:dyDescent="0.25">
      <c r="A482" s="2" t="str">
        <f>HYPERLINK("https://www.list-org.com/company/13764556","https://www.list-org.com/company/13764556")</f>
        <v>https://www.list-org.com/company/13764556</v>
      </c>
      <c r="B482" s="3" t="s">
        <v>2348</v>
      </c>
      <c r="C482" s="3" t="s">
        <v>2349</v>
      </c>
      <c r="D482" s="3" t="s">
        <v>14</v>
      </c>
      <c r="E482" s="3" t="s">
        <v>2350</v>
      </c>
      <c r="F482" s="3" t="s">
        <v>2351</v>
      </c>
      <c r="G482" s="3"/>
      <c r="H482" s="3" t="s">
        <v>2352</v>
      </c>
      <c r="I482" s="4"/>
      <c r="J482" s="4"/>
      <c r="K482" s="4"/>
      <c r="L482" s="4"/>
    </row>
    <row r="483" spans="1:12" x14ac:dyDescent="0.25">
      <c r="A483" s="2" t="str">
        <f>HYPERLINK("https://www.list-org.com/company/13764665","https://www.list-org.com/company/13764665")</f>
        <v>https://www.list-org.com/company/13764665</v>
      </c>
      <c r="B483" s="3" t="s">
        <v>2353</v>
      </c>
      <c r="C483" s="3" t="s">
        <v>2354</v>
      </c>
      <c r="D483" s="3" t="s">
        <v>14</v>
      </c>
      <c r="E483" s="3" t="s">
        <v>2355</v>
      </c>
      <c r="F483" s="3" t="s">
        <v>2356</v>
      </c>
      <c r="G483" s="3"/>
      <c r="H483" s="3" t="s">
        <v>1280</v>
      </c>
      <c r="I483" s="4"/>
      <c r="J483" s="4"/>
      <c r="K483" s="4"/>
      <c r="L483" s="4"/>
    </row>
    <row r="484" spans="1:12" x14ac:dyDescent="0.25">
      <c r="A484" s="2" t="str">
        <f>HYPERLINK("https://www.list-org.com/company/13764666","https://www.list-org.com/company/13764666")</f>
        <v>https://www.list-org.com/company/13764666</v>
      </c>
      <c r="B484" s="3" t="s">
        <v>2357</v>
      </c>
      <c r="C484" s="3" t="s">
        <v>2358</v>
      </c>
      <c r="D484" s="3" t="s">
        <v>14</v>
      </c>
      <c r="E484" s="3" t="s">
        <v>2359</v>
      </c>
      <c r="F484" s="3" t="s">
        <v>2360</v>
      </c>
      <c r="G484" s="3"/>
      <c r="H484" s="3" t="s">
        <v>1280</v>
      </c>
      <c r="I484" s="4"/>
      <c r="J484" s="4"/>
      <c r="K484" s="4"/>
      <c r="L484" s="4"/>
    </row>
    <row r="485" spans="1:12" x14ac:dyDescent="0.25">
      <c r="A485" s="2" t="str">
        <f>HYPERLINK("https://www.list-org.com/company/13764670","https://www.list-org.com/company/13764670")</f>
        <v>https://www.list-org.com/company/13764670</v>
      </c>
      <c r="B485" s="3" t="s">
        <v>2361</v>
      </c>
      <c r="C485" s="3" t="s">
        <v>2362</v>
      </c>
      <c r="D485" s="3" t="s">
        <v>14</v>
      </c>
      <c r="E485" s="3" t="s">
        <v>2363</v>
      </c>
      <c r="F485" s="3" t="s">
        <v>2364</v>
      </c>
      <c r="G485" s="3"/>
      <c r="H485" s="3" t="s">
        <v>1280</v>
      </c>
      <c r="I485" s="4"/>
      <c r="J485" s="4"/>
      <c r="K485" s="4"/>
      <c r="L485" s="4"/>
    </row>
    <row r="486" spans="1:12" x14ac:dyDescent="0.25">
      <c r="A486" s="2" t="str">
        <f>HYPERLINK("https://www.list-org.com/company/13764678","https://www.list-org.com/company/13764678")</f>
        <v>https://www.list-org.com/company/13764678</v>
      </c>
      <c r="B486" s="3" t="s">
        <v>2365</v>
      </c>
      <c r="C486" s="3" t="s">
        <v>2366</v>
      </c>
      <c r="D486" s="3" t="s">
        <v>14</v>
      </c>
      <c r="E486" s="3" t="s">
        <v>2367</v>
      </c>
      <c r="F486" s="3" t="s">
        <v>2368</v>
      </c>
      <c r="G486" s="3"/>
      <c r="H486" s="3" t="s">
        <v>1280</v>
      </c>
      <c r="I486" s="4"/>
      <c r="J486" s="4"/>
      <c r="K486" s="4"/>
      <c r="L486" s="4"/>
    </row>
    <row r="487" spans="1:12" x14ac:dyDescent="0.25">
      <c r="A487" s="2" t="str">
        <f>HYPERLINK("https://www.list-org.com/company/13764685","https://www.list-org.com/company/13764685")</f>
        <v>https://www.list-org.com/company/13764685</v>
      </c>
      <c r="B487" s="3" t="s">
        <v>2369</v>
      </c>
      <c r="C487" s="3" t="s">
        <v>2370</v>
      </c>
      <c r="D487" s="3" t="s">
        <v>14</v>
      </c>
      <c r="E487" s="3" t="s">
        <v>2371</v>
      </c>
      <c r="F487" s="3" t="s">
        <v>2372</v>
      </c>
      <c r="G487" s="3"/>
      <c r="H487" s="3" t="s">
        <v>1280</v>
      </c>
      <c r="I487" s="4"/>
      <c r="J487" s="4"/>
      <c r="K487" s="4"/>
      <c r="L487" s="4"/>
    </row>
    <row r="488" spans="1:12" x14ac:dyDescent="0.25">
      <c r="A488" s="2" t="str">
        <f>HYPERLINK("https://www.list-org.com/company/13764686","https://www.list-org.com/company/13764686")</f>
        <v>https://www.list-org.com/company/13764686</v>
      </c>
      <c r="B488" s="3" t="s">
        <v>2373</v>
      </c>
      <c r="C488" s="3" t="s">
        <v>2374</v>
      </c>
      <c r="D488" s="3" t="s">
        <v>14</v>
      </c>
      <c r="E488" s="3" t="s">
        <v>2375</v>
      </c>
      <c r="F488" s="3" t="s">
        <v>2376</v>
      </c>
      <c r="G488" s="3"/>
      <c r="H488" s="3" t="s">
        <v>1280</v>
      </c>
      <c r="I488" s="4"/>
      <c r="J488" s="4"/>
      <c r="K488" s="4"/>
      <c r="L488" s="4"/>
    </row>
    <row r="489" spans="1:12" x14ac:dyDescent="0.25">
      <c r="A489" s="2" t="str">
        <f>HYPERLINK("https://www.list-org.com/company/13765406","https://www.list-org.com/company/13765406")</f>
        <v>https://www.list-org.com/company/13765406</v>
      </c>
      <c r="B489" s="3" t="s">
        <v>2377</v>
      </c>
      <c r="C489" s="3" t="s">
        <v>2378</v>
      </c>
      <c r="D489" s="3" t="s">
        <v>14</v>
      </c>
      <c r="E489" s="3" t="s">
        <v>2379</v>
      </c>
      <c r="F489" s="3" t="s">
        <v>2380</v>
      </c>
      <c r="G489" s="3"/>
      <c r="H489" s="3" t="s">
        <v>2381</v>
      </c>
      <c r="I489" s="4"/>
      <c r="J489" s="4"/>
      <c r="K489" s="4"/>
      <c r="L489" s="4"/>
    </row>
    <row r="490" spans="1:12" x14ac:dyDescent="0.25">
      <c r="A490" s="2" t="str">
        <f>HYPERLINK("https://www.list-org.com/company/13765581","https://www.list-org.com/company/13765581")</f>
        <v>https://www.list-org.com/company/13765581</v>
      </c>
      <c r="B490" s="3" t="s">
        <v>2382</v>
      </c>
      <c r="C490" s="3" t="s">
        <v>2383</v>
      </c>
      <c r="D490" s="3" t="s">
        <v>14</v>
      </c>
      <c r="E490" s="3" t="s">
        <v>2384</v>
      </c>
      <c r="F490" s="3" t="s">
        <v>2385</v>
      </c>
      <c r="G490" s="3"/>
      <c r="H490" s="3" t="s">
        <v>2386</v>
      </c>
      <c r="I490" s="4"/>
      <c r="J490" s="4"/>
      <c r="K490" s="4"/>
      <c r="L490" s="4"/>
    </row>
    <row r="491" spans="1:12" x14ac:dyDescent="0.25">
      <c r="A491" s="2" t="str">
        <f>HYPERLINK("https://www.list-org.com/company/13765617","https://www.list-org.com/company/13765617")</f>
        <v>https://www.list-org.com/company/13765617</v>
      </c>
      <c r="B491" s="3" t="s">
        <v>2387</v>
      </c>
      <c r="C491" s="3" t="s">
        <v>2388</v>
      </c>
      <c r="D491" s="3" t="s">
        <v>14</v>
      </c>
      <c r="E491" s="3" t="s">
        <v>2389</v>
      </c>
      <c r="F491" s="3" t="s">
        <v>2390</v>
      </c>
      <c r="G491" s="3"/>
      <c r="H491" s="3" t="s">
        <v>2391</v>
      </c>
      <c r="I491" s="4"/>
      <c r="J491" s="4"/>
      <c r="K491" s="4"/>
      <c r="L491" s="4"/>
    </row>
    <row r="492" spans="1:12" x14ac:dyDescent="0.25">
      <c r="A492" s="2" t="str">
        <f>HYPERLINK("https://www.list-org.com/company/13765710","https://www.list-org.com/company/13765710")</f>
        <v>https://www.list-org.com/company/13765710</v>
      </c>
      <c r="B492" s="3" t="s">
        <v>2392</v>
      </c>
      <c r="C492" s="3" t="s">
        <v>2393</v>
      </c>
      <c r="D492" s="3" t="s">
        <v>14</v>
      </c>
      <c r="E492" s="3" t="s">
        <v>2394</v>
      </c>
      <c r="F492" s="3" t="s">
        <v>2395</v>
      </c>
      <c r="G492" s="3"/>
      <c r="H492" s="3" t="s">
        <v>2396</v>
      </c>
      <c r="I492" s="4"/>
      <c r="J492" s="4"/>
      <c r="K492" s="4"/>
      <c r="L492" s="4"/>
    </row>
    <row r="493" spans="1:12" x14ac:dyDescent="0.25">
      <c r="A493" s="2" t="str">
        <f>HYPERLINK("https://www.list-org.com/company/13765731","https://www.list-org.com/company/13765731")</f>
        <v>https://www.list-org.com/company/13765731</v>
      </c>
      <c r="B493" s="3" t="s">
        <v>2397</v>
      </c>
      <c r="C493" s="3" t="s">
        <v>2398</v>
      </c>
      <c r="D493" s="3" t="s">
        <v>14</v>
      </c>
      <c r="E493" s="3" t="s">
        <v>2399</v>
      </c>
      <c r="F493" s="3" t="s">
        <v>2400</v>
      </c>
      <c r="G493" s="3"/>
      <c r="H493" s="3" t="s">
        <v>2401</v>
      </c>
      <c r="I493" s="4"/>
      <c r="J493" s="4"/>
      <c r="K493" s="4"/>
      <c r="L493" s="4"/>
    </row>
    <row r="494" spans="1:12" x14ac:dyDescent="0.25">
      <c r="A494" s="2" t="str">
        <f>HYPERLINK("https://www.list-org.com/company/13765752","https://www.list-org.com/company/13765752")</f>
        <v>https://www.list-org.com/company/13765752</v>
      </c>
      <c r="B494" s="3" t="s">
        <v>2402</v>
      </c>
      <c r="C494" s="3" t="s">
        <v>2403</v>
      </c>
      <c r="D494" s="3" t="s">
        <v>14</v>
      </c>
      <c r="E494" s="3" t="s">
        <v>2404</v>
      </c>
      <c r="F494" s="3" t="s">
        <v>2405</v>
      </c>
      <c r="G494" s="3"/>
      <c r="H494" s="3" t="s">
        <v>2406</v>
      </c>
      <c r="I494" s="4"/>
      <c r="J494" s="4"/>
      <c r="K494" s="4"/>
      <c r="L494" s="4"/>
    </row>
    <row r="495" spans="1:12" x14ac:dyDescent="0.25">
      <c r="A495" s="2" t="str">
        <f>HYPERLINK("https://www.list-org.com/company/13765967","https://www.list-org.com/company/13765967")</f>
        <v>https://www.list-org.com/company/13765967</v>
      </c>
      <c r="B495" s="3" t="s">
        <v>2407</v>
      </c>
      <c r="C495" s="3" t="s">
        <v>2408</v>
      </c>
      <c r="D495" s="3" t="s">
        <v>14</v>
      </c>
      <c r="E495" s="3" t="s">
        <v>2409</v>
      </c>
      <c r="F495" s="3" t="s">
        <v>2410</v>
      </c>
      <c r="G495" s="3"/>
      <c r="H495" s="3" t="s">
        <v>587</v>
      </c>
      <c r="I495" s="4"/>
      <c r="J495" s="4"/>
      <c r="K495" s="4"/>
      <c r="L495" s="4"/>
    </row>
    <row r="496" spans="1:12" x14ac:dyDescent="0.25">
      <c r="A496" s="2" t="str">
        <f>HYPERLINK("https://www.list-org.com/company/13766326","https://www.list-org.com/company/13766326")</f>
        <v>https://www.list-org.com/company/13766326</v>
      </c>
      <c r="B496" s="3" t="s">
        <v>2411</v>
      </c>
      <c r="C496" s="3" t="s">
        <v>2412</v>
      </c>
      <c r="D496" s="3" t="s">
        <v>14</v>
      </c>
      <c r="E496" s="3" t="s">
        <v>2413</v>
      </c>
      <c r="F496" s="3" t="s">
        <v>2414</v>
      </c>
      <c r="G496" s="3"/>
      <c r="H496" s="3" t="s">
        <v>2415</v>
      </c>
      <c r="I496" s="4">
        <v>1</v>
      </c>
      <c r="J496" s="4"/>
      <c r="K496" s="4"/>
      <c r="L496" s="4"/>
    </row>
    <row r="497" spans="1:12" x14ac:dyDescent="0.25">
      <c r="A497" s="2" t="str">
        <f>HYPERLINK("https://www.list-org.com/company/13766612","https://www.list-org.com/company/13766612")</f>
        <v>https://www.list-org.com/company/13766612</v>
      </c>
      <c r="B497" s="3" t="s">
        <v>2416</v>
      </c>
      <c r="C497" s="3" t="s">
        <v>2417</v>
      </c>
      <c r="D497" s="3" t="s">
        <v>14</v>
      </c>
      <c r="E497" s="3" t="s">
        <v>2418</v>
      </c>
      <c r="F497" s="3" t="s">
        <v>2419</v>
      </c>
      <c r="G497" s="3"/>
      <c r="H497" s="3" t="s">
        <v>2420</v>
      </c>
      <c r="I497" s="4"/>
      <c r="J497" s="4"/>
      <c r="K497" s="4"/>
      <c r="L497" s="4"/>
    </row>
    <row r="498" spans="1:12" x14ac:dyDescent="0.25">
      <c r="A498" s="2" t="str">
        <f>HYPERLINK("https://www.list-org.com/company/13766644","https://www.list-org.com/company/13766644")</f>
        <v>https://www.list-org.com/company/13766644</v>
      </c>
      <c r="B498" s="3" t="s">
        <v>2421</v>
      </c>
      <c r="C498" s="3" t="s">
        <v>2422</v>
      </c>
      <c r="D498" s="3" t="s">
        <v>14</v>
      </c>
      <c r="E498" s="3" t="s">
        <v>2423</v>
      </c>
      <c r="F498" s="3" t="s">
        <v>2424</v>
      </c>
      <c r="G498" s="3"/>
      <c r="H498" s="3" t="s">
        <v>96</v>
      </c>
      <c r="I498" s="4"/>
      <c r="J498" s="4"/>
      <c r="K498" s="4"/>
      <c r="L498" s="4"/>
    </row>
    <row r="499" spans="1:12" x14ac:dyDescent="0.25">
      <c r="A499" s="2" t="str">
        <f>HYPERLINK("https://www.list-org.com/company/13766645","https://www.list-org.com/company/13766645")</f>
        <v>https://www.list-org.com/company/13766645</v>
      </c>
      <c r="B499" s="3" t="s">
        <v>2425</v>
      </c>
      <c r="C499" s="3" t="s">
        <v>2426</v>
      </c>
      <c r="D499" s="3" t="s">
        <v>14</v>
      </c>
      <c r="E499" s="3" t="s">
        <v>2427</v>
      </c>
      <c r="F499" s="3" t="s">
        <v>2428</v>
      </c>
      <c r="G499" s="3"/>
      <c r="H499" s="3" t="s">
        <v>2429</v>
      </c>
      <c r="I499" s="4"/>
      <c r="J499" s="4"/>
      <c r="K499" s="4"/>
      <c r="L499" s="4"/>
    </row>
    <row r="500" spans="1:12" x14ac:dyDescent="0.25">
      <c r="A500" s="2" t="str">
        <f>HYPERLINK("https://www.list-org.com/company/13766646","https://www.list-org.com/company/13766646")</f>
        <v>https://www.list-org.com/company/13766646</v>
      </c>
      <c r="B500" s="3" t="s">
        <v>2430</v>
      </c>
      <c r="C500" s="3" t="s">
        <v>2431</v>
      </c>
      <c r="D500" s="3" t="s">
        <v>14</v>
      </c>
      <c r="E500" s="3" t="s">
        <v>2432</v>
      </c>
      <c r="F500" s="3" t="s">
        <v>2433</v>
      </c>
      <c r="G500" s="3"/>
      <c r="H500" s="3" t="s">
        <v>1329</v>
      </c>
      <c r="I500" s="4"/>
      <c r="J500" s="4"/>
      <c r="K500" s="4"/>
      <c r="L500" s="4"/>
    </row>
    <row r="501" spans="1:12" x14ac:dyDescent="0.25">
      <c r="A501" s="2" t="str">
        <f>HYPERLINK("https://www.list-org.com/company/13766647","https://www.list-org.com/company/13766647")</f>
        <v>https://www.list-org.com/company/13766647</v>
      </c>
      <c r="B501" s="3" t="s">
        <v>2434</v>
      </c>
      <c r="C501" s="3" t="s">
        <v>2435</v>
      </c>
      <c r="D501" s="3" t="s">
        <v>14</v>
      </c>
      <c r="E501" s="3" t="s">
        <v>2436</v>
      </c>
      <c r="F501" s="3" t="s">
        <v>2437</v>
      </c>
      <c r="G501" s="3"/>
      <c r="H501" s="3" t="s">
        <v>2438</v>
      </c>
      <c r="I501" s="4"/>
      <c r="J501" s="4"/>
      <c r="K501" s="4"/>
      <c r="L501" s="4"/>
    </row>
    <row r="502" spans="1:12" x14ac:dyDescent="0.25">
      <c r="A502" s="2" t="str">
        <f>HYPERLINK("https://www.list-org.com/company/13766648","https://www.list-org.com/company/13766648")</f>
        <v>https://www.list-org.com/company/13766648</v>
      </c>
      <c r="B502" s="3" t="s">
        <v>2439</v>
      </c>
      <c r="C502" s="3" t="s">
        <v>2440</v>
      </c>
      <c r="D502" s="3" t="s">
        <v>14</v>
      </c>
      <c r="E502" s="3" t="s">
        <v>2441</v>
      </c>
      <c r="F502" s="3" t="s">
        <v>2442</v>
      </c>
      <c r="G502" s="3"/>
      <c r="H502" s="3" t="s">
        <v>2443</v>
      </c>
      <c r="I502" s="4"/>
      <c r="J502" s="4"/>
      <c r="K502" s="4"/>
      <c r="L502" s="4"/>
    </row>
    <row r="503" spans="1:12" x14ac:dyDescent="0.25">
      <c r="A503" s="2" t="str">
        <f>HYPERLINK("https://www.list-org.com/company/13766649","https://www.list-org.com/company/13766649")</f>
        <v>https://www.list-org.com/company/13766649</v>
      </c>
      <c r="B503" s="3" t="s">
        <v>2444</v>
      </c>
      <c r="C503" s="3" t="s">
        <v>2445</v>
      </c>
      <c r="D503" s="3" t="s">
        <v>14</v>
      </c>
      <c r="E503" s="3" t="s">
        <v>2446</v>
      </c>
      <c r="F503" s="3" t="s">
        <v>2447</v>
      </c>
      <c r="G503" s="3"/>
      <c r="H503" s="3" t="s">
        <v>1446</v>
      </c>
      <c r="I503" s="4"/>
      <c r="J503" s="4"/>
      <c r="K503" s="4"/>
      <c r="L503" s="4"/>
    </row>
    <row r="504" spans="1:12" x14ac:dyDescent="0.25">
      <c r="A504" s="2" t="str">
        <f>HYPERLINK("https://www.list-org.com/company/13766651","https://www.list-org.com/company/13766651")</f>
        <v>https://www.list-org.com/company/13766651</v>
      </c>
      <c r="B504" s="3" t="s">
        <v>2448</v>
      </c>
      <c r="C504" s="3" t="s">
        <v>2449</v>
      </c>
      <c r="D504" s="3" t="s">
        <v>14</v>
      </c>
      <c r="E504" s="3" t="s">
        <v>2450</v>
      </c>
      <c r="F504" s="3" t="s">
        <v>2451</v>
      </c>
      <c r="G504" s="3"/>
      <c r="H504" s="3" t="s">
        <v>2452</v>
      </c>
      <c r="I504" s="4"/>
      <c r="J504" s="4"/>
      <c r="K504" s="4"/>
      <c r="L504" s="4"/>
    </row>
    <row r="505" spans="1:12" x14ac:dyDescent="0.25">
      <c r="A505" s="2" t="str">
        <f>HYPERLINK("https://www.list-org.com/company/13766755","https://www.list-org.com/company/13766755")</f>
        <v>https://www.list-org.com/company/13766755</v>
      </c>
      <c r="B505" s="3" t="s">
        <v>2453</v>
      </c>
      <c r="C505" s="3" t="s">
        <v>2454</v>
      </c>
      <c r="D505" s="3" t="s">
        <v>14</v>
      </c>
      <c r="E505" s="3" t="s">
        <v>2455</v>
      </c>
      <c r="F505" s="3" t="s">
        <v>2456</v>
      </c>
      <c r="G505" s="3"/>
      <c r="H505" s="3" t="s">
        <v>2457</v>
      </c>
      <c r="I505" s="4"/>
      <c r="J505" s="4"/>
      <c r="K505" s="4"/>
      <c r="L505" s="4"/>
    </row>
    <row r="506" spans="1:12" x14ac:dyDescent="0.25">
      <c r="A506" s="2" t="str">
        <f>HYPERLINK("https://www.list-org.com/company/13766783","https://www.list-org.com/company/13766783")</f>
        <v>https://www.list-org.com/company/13766783</v>
      </c>
      <c r="B506" s="3" t="s">
        <v>2458</v>
      </c>
      <c r="C506" s="3" t="s">
        <v>2459</v>
      </c>
      <c r="D506" s="3" t="s">
        <v>14</v>
      </c>
      <c r="E506" s="3" t="s">
        <v>2460</v>
      </c>
      <c r="F506" s="3" t="s">
        <v>2461</v>
      </c>
      <c r="G506" s="3"/>
      <c r="H506" s="3" t="s">
        <v>2462</v>
      </c>
      <c r="I506" s="4"/>
      <c r="J506" s="4"/>
      <c r="K506" s="4"/>
      <c r="L506" s="4"/>
    </row>
    <row r="507" spans="1:12" x14ac:dyDescent="0.25">
      <c r="A507" s="2" t="str">
        <f>HYPERLINK("https://www.list-org.com/company/13766790","https://www.list-org.com/company/13766790")</f>
        <v>https://www.list-org.com/company/13766790</v>
      </c>
      <c r="B507" s="3" t="s">
        <v>2463</v>
      </c>
      <c r="C507" s="3" t="s">
        <v>2464</v>
      </c>
      <c r="D507" s="3" t="s">
        <v>14</v>
      </c>
      <c r="E507" s="3" t="s">
        <v>2465</v>
      </c>
      <c r="F507" s="3" t="s">
        <v>2466</v>
      </c>
      <c r="G507" s="3"/>
      <c r="H507" s="3" t="s">
        <v>2467</v>
      </c>
      <c r="I507" s="4"/>
      <c r="J507" s="4"/>
      <c r="K507" s="4"/>
      <c r="L507" s="4"/>
    </row>
    <row r="508" spans="1:12" x14ac:dyDescent="0.25">
      <c r="A508" s="2" t="str">
        <f>HYPERLINK("https://www.list-org.com/company/13766802","https://www.list-org.com/company/13766802")</f>
        <v>https://www.list-org.com/company/13766802</v>
      </c>
      <c r="B508" s="3" t="s">
        <v>2468</v>
      </c>
      <c r="C508" s="3" t="s">
        <v>2469</v>
      </c>
      <c r="D508" s="3" t="s">
        <v>14</v>
      </c>
      <c r="E508" s="3" t="s">
        <v>2470</v>
      </c>
      <c r="F508" s="3" t="s">
        <v>2471</v>
      </c>
      <c r="G508" s="3"/>
      <c r="H508" s="3" t="s">
        <v>2472</v>
      </c>
      <c r="I508" s="4"/>
      <c r="J508" s="4"/>
      <c r="K508" s="4"/>
      <c r="L508" s="4"/>
    </row>
    <row r="509" spans="1:12" x14ac:dyDescent="0.25">
      <c r="A509" s="2" t="str">
        <f>HYPERLINK("https://www.list-org.com/company/13766979","https://www.list-org.com/company/13766979")</f>
        <v>https://www.list-org.com/company/13766979</v>
      </c>
      <c r="B509" s="3" t="s">
        <v>2473</v>
      </c>
      <c r="C509" s="3" t="s">
        <v>2474</v>
      </c>
      <c r="D509" s="3" t="s">
        <v>14</v>
      </c>
      <c r="E509" s="3" t="s">
        <v>2475</v>
      </c>
      <c r="F509" s="3" t="s">
        <v>2476</v>
      </c>
      <c r="G509" s="3"/>
      <c r="H509" s="3" t="s">
        <v>2477</v>
      </c>
      <c r="I509" s="4"/>
      <c r="J509" s="4"/>
      <c r="K509" s="4"/>
      <c r="L509" s="4"/>
    </row>
    <row r="510" spans="1:12" x14ac:dyDescent="0.25">
      <c r="A510" s="2" t="str">
        <f>HYPERLINK("https://www.list-org.com/company/13767043","https://www.list-org.com/company/13767043")</f>
        <v>https://www.list-org.com/company/13767043</v>
      </c>
      <c r="B510" s="3" t="s">
        <v>2478</v>
      </c>
      <c r="C510" s="3" t="s">
        <v>2479</v>
      </c>
      <c r="D510" s="3" t="s">
        <v>14</v>
      </c>
      <c r="E510" s="3" t="s">
        <v>2480</v>
      </c>
      <c r="F510" s="3" t="s">
        <v>2481</v>
      </c>
      <c r="G510" s="3"/>
      <c r="H510" s="3" t="s">
        <v>1799</v>
      </c>
      <c r="I510" s="4">
        <v>1</v>
      </c>
      <c r="J510" s="4"/>
      <c r="K510" s="4"/>
      <c r="L510" s="4"/>
    </row>
    <row r="511" spans="1:12" x14ac:dyDescent="0.25">
      <c r="A511" s="2" t="str">
        <f>HYPERLINK("https://www.list-org.com/company/13767044","https://www.list-org.com/company/13767044")</f>
        <v>https://www.list-org.com/company/13767044</v>
      </c>
      <c r="B511" s="3" t="s">
        <v>2482</v>
      </c>
      <c r="C511" s="3" t="s">
        <v>2483</v>
      </c>
      <c r="D511" s="3" t="s">
        <v>14</v>
      </c>
      <c r="E511" s="3" t="s">
        <v>2484</v>
      </c>
      <c r="F511" s="3" t="s">
        <v>2485</v>
      </c>
      <c r="G511" s="3"/>
      <c r="H511" s="3" t="s">
        <v>1799</v>
      </c>
      <c r="I511" s="4"/>
      <c r="J511" s="4"/>
      <c r="K511" s="4"/>
      <c r="L511" s="4"/>
    </row>
    <row r="512" spans="1:12" x14ac:dyDescent="0.25">
      <c r="A512" s="2" t="str">
        <f>HYPERLINK("https://www.list-org.com/company/13767096","https://www.list-org.com/company/13767096")</f>
        <v>https://www.list-org.com/company/13767096</v>
      </c>
      <c r="B512" s="3" t="s">
        <v>2486</v>
      </c>
      <c r="C512" s="3" t="s">
        <v>2487</v>
      </c>
      <c r="D512" s="3" t="s">
        <v>14</v>
      </c>
      <c r="E512" s="3" t="s">
        <v>2488</v>
      </c>
      <c r="F512" s="3" t="s">
        <v>2489</v>
      </c>
      <c r="G512" s="3"/>
      <c r="H512" s="3" t="s">
        <v>2490</v>
      </c>
      <c r="I512" s="4"/>
      <c r="J512" s="4"/>
      <c r="K512" s="4"/>
      <c r="L512" s="4"/>
    </row>
    <row r="513" spans="1:12" x14ac:dyDescent="0.25">
      <c r="A513" s="2" t="str">
        <f>HYPERLINK("https://www.list-org.com/company/13767384","https://www.list-org.com/company/13767384")</f>
        <v>https://www.list-org.com/company/13767384</v>
      </c>
      <c r="B513" s="3" t="s">
        <v>2491</v>
      </c>
      <c r="C513" s="3" t="s">
        <v>2492</v>
      </c>
      <c r="D513" s="3" t="s">
        <v>14</v>
      </c>
      <c r="E513" s="3" t="s">
        <v>2493</v>
      </c>
      <c r="F513" s="3" t="s">
        <v>2494</v>
      </c>
      <c r="G513" s="3"/>
      <c r="H513" s="3" t="s">
        <v>2495</v>
      </c>
      <c r="I513" s="4"/>
      <c r="J513" s="4"/>
      <c r="K513" s="4"/>
      <c r="L513" s="4"/>
    </row>
    <row r="514" spans="1:12" x14ac:dyDescent="0.25">
      <c r="A514" s="2" t="str">
        <f>HYPERLINK("https://www.list-org.com/company/13767401","https://www.list-org.com/company/13767401")</f>
        <v>https://www.list-org.com/company/13767401</v>
      </c>
      <c r="B514" s="3" t="s">
        <v>2496</v>
      </c>
      <c r="C514" s="3" t="s">
        <v>2497</v>
      </c>
      <c r="D514" s="3" t="s">
        <v>14</v>
      </c>
      <c r="E514" s="3" t="s">
        <v>2498</v>
      </c>
      <c r="F514" s="3" t="s">
        <v>2499</v>
      </c>
      <c r="G514" s="3"/>
      <c r="H514" s="3" t="s">
        <v>2500</v>
      </c>
      <c r="I514" s="4"/>
      <c r="J514" s="4"/>
      <c r="K514" s="4"/>
      <c r="L514" s="4"/>
    </row>
    <row r="515" spans="1:12" x14ac:dyDescent="0.25">
      <c r="A515" s="2" t="str">
        <f>HYPERLINK("https://www.list-org.com/company/13767416","https://www.list-org.com/company/13767416")</f>
        <v>https://www.list-org.com/company/13767416</v>
      </c>
      <c r="B515" s="3" t="s">
        <v>2501</v>
      </c>
      <c r="C515" s="3" t="s">
        <v>2502</v>
      </c>
      <c r="D515" s="3" t="s">
        <v>14</v>
      </c>
      <c r="E515" s="3" t="s">
        <v>2503</v>
      </c>
      <c r="F515" s="3" t="s">
        <v>2504</v>
      </c>
      <c r="G515" s="3"/>
      <c r="H515" s="3" t="s">
        <v>2505</v>
      </c>
      <c r="I515" s="4"/>
      <c r="J515" s="4"/>
      <c r="K515" s="4"/>
      <c r="L515" s="4"/>
    </row>
    <row r="516" spans="1:12" x14ac:dyDescent="0.25">
      <c r="A516" s="2" t="str">
        <f>HYPERLINK("https://www.list-org.com/company/13767701","https://www.list-org.com/company/13767701")</f>
        <v>https://www.list-org.com/company/13767701</v>
      </c>
      <c r="B516" s="3" t="s">
        <v>2506</v>
      </c>
      <c r="C516" s="3" t="s">
        <v>2507</v>
      </c>
      <c r="D516" s="3" t="s">
        <v>14</v>
      </c>
      <c r="E516" s="3" t="s">
        <v>2508</v>
      </c>
      <c r="F516" s="3" t="s">
        <v>2509</v>
      </c>
      <c r="G516" s="3"/>
      <c r="H516" s="3" t="s">
        <v>553</v>
      </c>
      <c r="I516" s="4"/>
      <c r="J516" s="4"/>
      <c r="K516" s="4"/>
      <c r="L516" s="4"/>
    </row>
    <row r="517" spans="1:12" x14ac:dyDescent="0.25">
      <c r="A517" s="2" t="str">
        <f>HYPERLINK("https://www.list-org.com/company/13767777","https://www.list-org.com/company/13767777")</f>
        <v>https://www.list-org.com/company/13767777</v>
      </c>
      <c r="B517" s="3" t="s">
        <v>2510</v>
      </c>
      <c r="C517" s="3" t="s">
        <v>2511</v>
      </c>
      <c r="D517" s="3" t="s">
        <v>14</v>
      </c>
      <c r="E517" s="3" t="s">
        <v>2512</v>
      </c>
      <c r="F517" s="3" t="s">
        <v>2513</v>
      </c>
      <c r="G517" s="3"/>
      <c r="H517" s="3" t="s">
        <v>2514</v>
      </c>
      <c r="I517" s="4"/>
      <c r="J517" s="4"/>
      <c r="K517" s="4"/>
      <c r="L517" s="4"/>
    </row>
    <row r="518" spans="1:12" x14ac:dyDescent="0.25">
      <c r="A518" s="2" t="str">
        <f>HYPERLINK("https://www.list-org.com/company/13767991","https://www.list-org.com/company/13767991")</f>
        <v>https://www.list-org.com/company/13767991</v>
      </c>
      <c r="B518" s="3" t="s">
        <v>2515</v>
      </c>
      <c r="C518" s="3" t="s">
        <v>2516</v>
      </c>
      <c r="D518" s="3" t="s">
        <v>14</v>
      </c>
      <c r="E518" s="3" t="s">
        <v>2517</v>
      </c>
      <c r="F518" s="3" t="s">
        <v>2518</v>
      </c>
      <c r="G518" s="3"/>
      <c r="H518" s="3" t="s">
        <v>410</v>
      </c>
      <c r="I518" s="4"/>
      <c r="J518" s="4"/>
      <c r="K518" s="4"/>
      <c r="L518" s="4"/>
    </row>
    <row r="519" spans="1:12" x14ac:dyDescent="0.25">
      <c r="A519" s="2" t="str">
        <f>HYPERLINK("https://www.list-org.com/company/13768032","https://www.list-org.com/company/13768032")</f>
        <v>https://www.list-org.com/company/13768032</v>
      </c>
      <c r="B519" s="3" t="s">
        <v>2519</v>
      </c>
      <c r="C519" s="3" t="s">
        <v>2520</v>
      </c>
      <c r="D519" s="3" t="s">
        <v>14</v>
      </c>
      <c r="E519" s="3" t="s">
        <v>2521</v>
      </c>
      <c r="F519" s="3" t="s">
        <v>2522</v>
      </c>
      <c r="G519" s="3"/>
      <c r="H519" s="3" t="s">
        <v>2523</v>
      </c>
      <c r="I519" s="4">
        <v>1</v>
      </c>
      <c r="J519" s="4"/>
      <c r="K519" s="4"/>
      <c r="L519" s="4">
        <v>158</v>
      </c>
    </row>
    <row r="520" spans="1:12" x14ac:dyDescent="0.25">
      <c r="A520" s="2" t="str">
        <f>HYPERLINK("https://www.list-org.com/company/13768132","https://www.list-org.com/company/13768132")</f>
        <v>https://www.list-org.com/company/13768132</v>
      </c>
      <c r="B520" s="3" t="s">
        <v>2524</v>
      </c>
      <c r="C520" s="3" t="s">
        <v>2525</v>
      </c>
      <c r="D520" s="3" t="s">
        <v>14</v>
      </c>
      <c r="E520" s="3" t="s">
        <v>2526</v>
      </c>
      <c r="F520" s="3" t="s">
        <v>2527</v>
      </c>
      <c r="G520" s="3"/>
      <c r="H520" s="3" t="s">
        <v>1411</v>
      </c>
      <c r="I520" s="4"/>
      <c r="J520" s="4"/>
      <c r="K520" s="4"/>
      <c r="L520" s="4"/>
    </row>
    <row r="521" spans="1:12" x14ac:dyDescent="0.25">
      <c r="A521" s="2" t="str">
        <f>HYPERLINK("https://www.list-org.com/company/13768273","https://www.list-org.com/company/13768273")</f>
        <v>https://www.list-org.com/company/13768273</v>
      </c>
      <c r="B521" s="3" t="s">
        <v>2528</v>
      </c>
      <c r="C521" s="3" t="s">
        <v>2529</v>
      </c>
      <c r="D521" s="3" t="s">
        <v>14</v>
      </c>
      <c r="E521" s="3" t="s">
        <v>2530</v>
      </c>
      <c r="F521" s="3" t="s">
        <v>2531</v>
      </c>
      <c r="G521" s="3"/>
      <c r="H521" s="3" t="s">
        <v>1565</v>
      </c>
      <c r="I521" s="4"/>
      <c r="J521" s="4"/>
      <c r="K521" s="4"/>
      <c r="L521" s="4"/>
    </row>
    <row r="522" spans="1:12" x14ac:dyDescent="0.25">
      <c r="A522" s="2" t="str">
        <f>HYPERLINK("https://www.list-org.com/company/13768295","https://www.list-org.com/company/13768295")</f>
        <v>https://www.list-org.com/company/13768295</v>
      </c>
      <c r="B522" s="3" t="s">
        <v>2532</v>
      </c>
      <c r="C522" s="3" t="s">
        <v>2533</v>
      </c>
      <c r="D522" s="3" t="s">
        <v>14</v>
      </c>
      <c r="E522" s="3" t="s">
        <v>2534</v>
      </c>
      <c r="F522" s="3" t="s">
        <v>2535</v>
      </c>
      <c r="G522" s="3"/>
      <c r="H522" s="3" t="s">
        <v>2536</v>
      </c>
      <c r="I522" s="4"/>
      <c r="J522" s="4"/>
      <c r="K522" s="4"/>
      <c r="L522" s="4"/>
    </row>
    <row r="523" spans="1:12" x14ac:dyDescent="0.25">
      <c r="A523" s="2" t="str">
        <f>HYPERLINK("https://www.list-org.com/company/13768342","https://www.list-org.com/company/13768342")</f>
        <v>https://www.list-org.com/company/13768342</v>
      </c>
      <c r="B523" s="3" t="s">
        <v>2537</v>
      </c>
      <c r="C523" s="3" t="s">
        <v>2538</v>
      </c>
      <c r="D523" s="3" t="s">
        <v>14</v>
      </c>
      <c r="E523" s="3" t="s">
        <v>2539</v>
      </c>
      <c r="F523" s="3" t="s">
        <v>2540</v>
      </c>
      <c r="G523" s="3"/>
      <c r="H523" s="3" t="s">
        <v>2541</v>
      </c>
      <c r="I523" s="4"/>
      <c r="J523" s="4"/>
      <c r="K523" s="4"/>
      <c r="L523" s="4"/>
    </row>
    <row r="524" spans="1:12" x14ac:dyDescent="0.25">
      <c r="A524" s="2" t="str">
        <f>HYPERLINK("https://www.list-org.com/company/13768355","https://www.list-org.com/company/13768355")</f>
        <v>https://www.list-org.com/company/13768355</v>
      </c>
      <c r="B524" s="3" t="s">
        <v>2542</v>
      </c>
      <c r="C524" s="3" t="s">
        <v>2543</v>
      </c>
      <c r="D524" s="3" t="s">
        <v>14</v>
      </c>
      <c r="E524" s="3" t="s">
        <v>2544</v>
      </c>
      <c r="F524" s="3" t="s">
        <v>2545</v>
      </c>
      <c r="G524" s="3"/>
      <c r="H524" s="3" t="s">
        <v>2541</v>
      </c>
      <c r="I524" s="4"/>
      <c r="J524" s="4"/>
      <c r="K524" s="4"/>
      <c r="L524" s="4"/>
    </row>
    <row r="525" spans="1:12" x14ac:dyDescent="0.25">
      <c r="A525" s="2" t="str">
        <f>HYPERLINK("https://www.list-org.com/company/13768445","https://www.list-org.com/company/13768445")</f>
        <v>https://www.list-org.com/company/13768445</v>
      </c>
      <c r="B525" s="3" t="s">
        <v>2546</v>
      </c>
      <c r="C525" s="3" t="s">
        <v>2547</v>
      </c>
      <c r="D525" s="3" t="s">
        <v>14</v>
      </c>
      <c r="E525" s="3" t="s">
        <v>2548</v>
      </c>
      <c r="F525" s="3" t="s">
        <v>2549</v>
      </c>
      <c r="G525" s="3"/>
      <c r="H525" s="3" t="s">
        <v>1667</v>
      </c>
      <c r="I525" s="4"/>
      <c r="J525" s="4"/>
      <c r="K525" s="4"/>
      <c r="L525" s="4"/>
    </row>
    <row r="526" spans="1:12" x14ac:dyDescent="0.25">
      <c r="A526" s="2" t="str">
        <f>HYPERLINK("https://www.list-org.com/company/13768450","https://www.list-org.com/company/13768450")</f>
        <v>https://www.list-org.com/company/13768450</v>
      </c>
      <c r="B526" s="3" t="s">
        <v>2550</v>
      </c>
      <c r="C526" s="3" t="s">
        <v>2551</v>
      </c>
      <c r="D526" s="3" t="s">
        <v>14</v>
      </c>
      <c r="E526" s="3" t="s">
        <v>2552</v>
      </c>
      <c r="F526" s="3" t="s">
        <v>2553</v>
      </c>
      <c r="G526" s="3"/>
      <c r="H526" s="3" t="s">
        <v>2554</v>
      </c>
      <c r="I526" s="4"/>
      <c r="J526" s="4"/>
      <c r="K526" s="4"/>
      <c r="L526" s="4"/>
    </row>
    <row r="527" spans="1:12" x14ac:dyDescent="0.25">
      <c r="A527" s="2" t="str">
        <f>HYPERLINK("https://www.list-org.com/company/13768484","https://www.list-org.com/company/13768484")</f>
        <v>https://www.list-org.com/company/13768484</v>
      </c>
      <c r="B527" s="3" t="s">
        <v>2555</v>
      </c>
      <c r="C527" s="3" t="s">
        <v>2556</v>
      </c>
      <c r="D527" s="3" t="s">
        <v>14</v>
      </c>
      <c r="E527" s="3" t="s">
        <v>2557</v>
      </c>
      <c r="F527" s="3" t="s">
        <v>2558</v>
      </c>
      <c r="G527" s="3"/>
      <c r="H527" s="3" t="s">
        <v>2559</v>
      </c>
      <c r="I527" s="4"/>
      <c r="J527" s="4"/>
      <c r="K527" s="4"/>
      <c r="L527" s="4"/>
    </row>
    <row r="528" spans="1:12" x14ac:dyDescent="0.25">
      <c r="A528" s="2" t="str">
        <f>HYPERLINK("https://www.list-org.com/company/13768622","https://www.list-org.com/company/13768622")</f>
        <v>https://www.list-org.com/company/13768622</v>
      </c>
      <c r="B528" s="3" t="s">
        <v>2560</v>
      </c>
      <c r="C528" s="3" t="s">
        <v>2561</v>
      </c>
      <c r="D528" s="3" t="s">
        <v>14</v>
      </c>
      <c r="E528" s="3" t="s">
        <v>2562</v>
      </c>
      <c r="F528" s="3" t="s">
        <v>2563</v>
      </c>
      <c r="G528" s="3"/>
      <c r="H528" s="3" t="s">
        <v>2564</v>
      </c>
      <c r="I528" s="4">
        <v>1</v>
      </c>
      <c r="J528" s="4"/>
      <c r="K528" s="4">
        <v>538</v>
      </c>
      <c r="L528" s="4">
        <v>942</v>
      </c>
    </row>
    <row r="529" spans="1:12" x14ac:dyDescent="0.25">
      <c r="A529" s="2" t="str">
        <f>HYPERLINK("https://www.list-org.com/company/13769005","https://www.list-org.com/company/13769005")</f>
        <v>https://www.list-org.com/company/13769005</v>
      </c>
      <c r="B529" s="3" t="s">
        <v>2565</v>
      </c>
      <c r="C529" s="3" t="s">
        <v>2566</v>
      </c>
      <c r="D529" s="3" t="s">
        <v>14</v>
      </c>
      <c r="E529" s="3" t="s">
        <v>2567</v>
      </c>
      <c r="F529" s="3" t="s">
        <v>2568</v>
      </c>
      <c r="G529" s="3"/>
      <c r="H529" s="3" t="s">
        <v>1113</v>
      </c>
      <c r="I529" s="4"/>
      <c r="J529" s="4"/>
      <c r="K529" s="4"/>
      <c r="L529" s="4"/>
    </row>
    <row r="530" spans="1:12" x14ac:dyDescent="0.25">
      <c r="A530" s="2" t="str">
        <f>HYPERLINK("https://www.list-org.com/company/13769343","https://www.list-org.com/company/13769343")</f>
        <v>https://www.list-org.com/company/13769343</v>
      </c>
      <c r="B530" s="3" t="s">
        <v>2569</v>
      </c>
      <c r="C530" s="3" t="s">
        <v>2570</v>
      </c>
      <c r="D530" s="3" t="s">
        <v>14</v>
      </c>
      <c r="E530" s="3" t="s">
        <v>2571</v>
      </c>
      <c r="F530" s="3" t="s">
        <v>2572</v>
      </c>
      <c r="G530" s="3"/>
      <c r="H530" s="3" t="s">
        <v>1496</v>
      </c>
      <c r="I530" s="4"/>
      <c r="J530" s="4"/>
      <c r="K530" s="4"/>
      <c r="L530" s="4"/>
    </row>
    <row r="531" spans="1:12" x14ac:dyDescent="0.25">
      <c r="A531" s="2" t="str">
        <f>HYPERLINK("https://www.list-org.com/company/13769446","https://www.list-org.com/company/13769446")</f>
        <v>https://www.list-org.com/company/13769446</v>
      </c>
      <c r="B531" s="3" t="s">
        <v>2573</v>
      </c>
      <c r="C531" s="3" t="s">
        <v>2574</v>
      </c>
      <c r="D531" s="3" t="s">
        <v>14</v>
      </c>
      <c r="E531" s="3" t="s">
        <v>2575</v>
      </c>
      <c r="F531" s="3" t="s">
        <v>2576</v>
      </c>
      <c r="G531" s="3"/>
      <c r="H531" s="3" t="s">
        <v>2577</v>
      </c>
      <c r="I531" s="4"/>
      <c r="J531" s="4"/>
      <c r="K531" s="4"/>
      <c r="L531" s="4"/>
    </row>
    <row r="532" spans="1:12" x14ac:dyDescent="0.25">
      <c r="A532" s="2" t="str">
        <f>HYPERLINK("https://www.list-org.com/company/13769450","https://www.list-org.com/company/13769450")</f>
        <v>https://www.list-org.com/company/13769450</v>
      </c>
      <c r="B532" s="3" t="s">
        <v>2578</v>
      </c>
      <c r="C532" s="3" t="s">
        <v>2579</v>
      </c>
      <c r="D532" s="3" t="s">
        <v>14</v>
      </c>
      <c r="E532" s="3" t="s">
        <v>2580</v>
      </c>
      <c r="F532" s="3" t="s">
        <v>2581</v>
      </c>
      <c r="G532" s="3"/>
      <c r="H532" s="3" t="s">
        <v>2582</v>
      </c>
      <c r="I532" s="4"/>
      <c r="J532" s="4"/>
      <c r="K532" s="4"/>
      <c r="L532" s="4"/>
    </row>
    <row r="533" spans="1:12" x14ac:dyDescent="0.25">
      <c r="A533" s="2" t="str">
        <f>HYPERLINK("https://www.list-org.com/company/13769452","https://www.list-org.com/company/13769452")</f>
        <v>https://www.list-org.com/company/13769452</v>
      </c>
      <c r="B533" s="3" t="s">
        <v>2583</v>
      </c>
      <c r="C533" s="3" t="s">
        <v>2584</v>
      </c>
      <c r="D533" s="3" t="s">
        <v>14</v>
      </c>
      <c r="E533" s="3" t="s">
        <v>2585</v>
      </c>
      <c r="F533" s="3" t="s">
        <v>2586</v>
      </c>
      <c r="G533" s="3"/>
      <c r="H533" s="3" t="s">
        <v>2587</v>
      </c>
      <c r="I533" s="4"/>
      <c r="J533" s="4"/>
      <c r="K533" s="4"/>
      <c r="L533" s="4"/>
    </row>
    <row r="534" spans="1:12" x14ac:dyDescent="0.25">
      <c r="A534" s="2" t="str">
        <f>HYPERLINK("https://www.list-org.com/company/13769454","https://www.list-org.com/company/13769454")</f>
        <v>https://www.list-org.com/company/13769454</v>
      </c>
      <c r="B534" s="3" t="s">
        <v>2588</v>
      </c>
      <c r="C534" s="3" t="s">
        <v>2589</v>
      </c>
      <c r="D534" s="3" t="s">
        <v>14</v>
      </c>
      <c r="E534" s="3" t="s">
        <v>2590</v>
      </c>
      <c r="F534" s="3" t="s">
        <v>2591</v>
      </c>
      <c r="G534" s="3"/>
      <c r="H534" s="3" t="s">
        <v>2592</v>
      </c>
      <c r="I534" s="4"/>
      <c r="J534" s="4"/>
      <c r="K534" s="4"/>
      <c r="L534" s="4"/>
    </row>
    <row r="535" spans="1:12" x14ac:dyDescent="0.25">
      <c r="A535" s="2" t="str">
        <f>HYPERLINK("https://www.list-org.com/company/13769578","https://www.list-org.com/company/13769578")</f>
        <v>https://www.list-org.com/company/13769578</v>
      </c>
      <c r="B535" s="3" t="s">
        <v>2593</v>
      </c>
      <c r="C535" s="3" t="s">
        <v>2594</v>
      </c>
      <c r="D535" s="3" t="s">
        <v>14</v>
      </c>
      <c r="E535" s="3" t="s">
        <v>2595</v>
      </c>
      <c r="F535" s="3" t="s">
        <v>2596</v>
      </c>
      <c r="G535" s="3"/>
      <c r="H535" s="3" t="s">
        <v>2597</v>
      </c>
      <c r="I535" s="4"/>
      <c r="J535" s="4"/>
      <c r="K535" s="4"/>
      <c r="L535" s="4"/>
    </row>
    <row r="536" spans="1:12" x14ac:dyDescent="0.25">
      <c r="A536" s="2" t="str">
        <f>HYPERLINK("https://www.list-org.com/company/13769995","https://www.list-org.com/company/13769995")</f>
        <v>https://www.list-org.com/company/13769995</v>
      </c>
      <c r="B536" s="3" t="s">
        <v>2598</v>
      </c>
      <c r="C536" s="3" t="s">
        <v>2599</v>
      </c>
      <c r="D536" s="3" t="s">
        <v>14</v>
      </c>
      <c r="E536" s="3" t="s">
        <v>2600</v>
      </c>
      <c r="F536" s="3" t="s">
        <v>2601</v>
      </c>
      <c r="G536" s="3"/>
      <c r="H536" s="3" t="s">
        <v>2602</v>
      </c>
      <c r="I536" s="4"/>
      <c r="J536" s="4"/>
      <c r="K536" s="4"/>
      <c r="L536" s="4"/>
    </row>
    <row r="537" spans="1:12" x14ac:dyDescent="0.25">
      <c r="A537" s="2" t="str">
        <f>HYPERLINK("https://www.list-org.com/company/13770179","https://www.list-org.com/company/13770179")</f>
        <v>https://www.list-org.com/company/13770179</v>
      </c>
      <c r="B537" s="3" t="s">
        <v>2603</v>
      </c>
      <c r="C537" s="3" t="s">
        <v>2604</v>
      </c>
      <c r="D537" s="3" t="s">
        <v>14</v>
      </c>
      <c r="E537" s="3" t="s">
        <v>2605</v>
      </c>
      <c r="F537" s="3" t="s">
        <v>2606</v>
      </c>
      <c r="G537" s="3"/>
      <c r="H537" s="3" t="s">
        <v>2607</v>
      </c>
      <c r="I537" s="4">
        <v>7</v>
      </c>
      <c r="J537" s="4"/>
      <c r="K537" s="4">
        <v>-607</v>
      </c>
      <c r="L537" s="4">
        <v>2269</v>
      </c>
    </row>
    <row r="538" spans="1:12" x14ac:dyDescent="0.25">
      <c r="A538" s="2" t="str">
        <f>HYPERLINK("https://www.list-org.com/company/13770185","https://www.list-org.com/company/13770185")</f>
        <v>https://www.list-org.com/company/13770185</v>
      </c>
      <c r="B538" s="3" t="s">
        <v>2608</v>
      </c>
      <c r="C538" s="3" t="s">
        <v>2609</v>
      </c>
      <c r="D538" s="3" t="s">
        <v>14</v>
      </c>
      <c r="E538" s="3" t="s">
        <v>2610</v>
      </c>
      <c r="F538" s="3" t="s">
        <v>2611</v>
      </c>
      <c r="G538" s="3"/>
      <c r="H538" s="3" t="s">
        <v>2612</v>
      </c>
      <c r="I538" s="4"/>
      <c r="J538" s="4"/>
      <c r="K538" s="4"/>
      <c r="L538" s="4"/>
    </row>
    <row r="539" spans="1:12" x14ac:dyDescent="0.25">
      <c r="A539" s="2" t="str">
        <f>HYPERLINK("https://www.list-org.com/company/13770205","https://www.list-org.com/company/13770205")</f>
        <v>https://www.list-org.com/company/13770205</v>
      </c>
      <c r="B539" s="3" t="s">
        <v>2613</v>
      </c>
      <c r="C539" s="3" t="s">
        <v>2614</v>
      </c>
      <c r="D539" s="3" t="s">
        <v>14</v>
      </c>
      <c r="E539" s="3" t="s">
        <v>2615</v>
      </c>
      <c r="F539" s="3" t="s">
        <v>2616</v>
      </c>
      <c r="G539" s="3"/>
      <c r="H539" s="3" t="s">
        <v>2617</v>
      </c>
      <c r="I539" s="4"/>
      <c r="J539" s="4"/>
      <c r="K539" s="4"/>
      <c r="L539" s="4"/>
    </row>
    <row r="540" spans="1:12" x14ac:dyDescent="0.25">
      <c r="A540" s="2" t="str">
        <f>HYPERLINK("https://www.list-org.com/company/13770274","https://www.list-org.com/company/13770274")</f>
        <v>https://www.list-org.com/company/13770274</v>
      </c>
      <c r="B540" s="3" t="s">
        <v>2618</v>
      </c>
      <c r="C540" s="3" t="s">
        <v>2619</v>
      </c>
      <c r="D540" s="3" t="s">
        <v>14</v>
      </c>
      <c r="E540" s="3" t="s">
        <v>2620</v>
      </c>
      <c r="F540" s="3" t="s">
        <v>2621</v>
      </c>
      <c r="G540" s="3"/>
      <c r="H540" s="3" t="s">
        <v>2622</v>
      </c>
      <c r="I540" s="4"/>
      <c r="J540" s="4"/>
      <c r="K540" s="4"/>
      <c r="L540" s="4"/>
    </row>
    <row r="541" spans="1:12" x14ac:dyDescent="0.25">
      <c r="A541" s="2" t="str">
        <f>HYPERLINK("https://www.list-org.com/company/13770291","https://www.list-org.com/company/13770291")</f>
        <v>https://www.list-org.com/company/13770291</v>
      </c>
      <c r="B541" s="3" t="s">
        <v>2623</v>
      </c>
      <c r="C541" s="3" t="s">
        <v>2624</v>
      </c>
      <c r="D541" s="3" t="s">
        <v>14</v>
      </c>
      <c r="E541" s="3" t="s">
        <v>2625</v>
      </c>
      <c r="F541" s="3" t="s">
        <v>2626</v>
      </c>
      <c r="G541" s="3"/>
      <c r="H541" s="3" t="s">
        <v>2627</v>
      </c>
      <c r="I541" s="4"/>
      <c r="J541" s="4"/>
      <c r="K541" s="4"/>
      <c r="L541" s="4"/>
    </row>
    <row r="542" spans="1:12" x14ac:dyDescent="0.25">
      <c r="A542" s="2" t="str">
        <f>HYPERLINK("https://www.list-org.com/company/13770756","https://www.list-org.com/company/13770756")</f>
        <v>https://www.list-org.com/company/13770756</v>
      </c>
      <c r="B542" s="3" t="s">
        <v>2628</v>
      </c>
      <c r="C542" s="3" t="s">
        <v>2628</v>
      </c>
      <c r="D542" s="3" t="s">
        <v>14</v>
      </c>
      <c r="E542" s="3" t="s">
        <v>2629</v>
      </c>
      <c r="F542" s="3" t="s">
        <v>2630</v>
      </c>
      <c r="G542" s="3"/>
      <c r="H542" s="3" t="s">
        <v>2631</v>
      </c>
      <c r="I542" s="4"/>
      <c r="J542" s="4"/>
      <c r="K542" s="4"/>
      <c r="L542" s="4"/>
    </row>
    <row r="543" spans="1:12" x14ac:dyDescent="0.25">
      <c r="A543" s="2" t="str">
        <f>HYPERLINK("https://www.list-org.com/company/13770854","https://www.list-org.com/company/13770854")</f>
        <v>https://www.list-org.com/company/13770854</v>
      </c>
      <c r="B543" s="3" t="s">
        <v>2632</v>
      </c>
      <c r="C543" s="3" t="s">
        <v>2633</v>
      </c>
      <c r="D543" s="3" t="s">
        <v>14</v>
      </c>
      <c r="E543" s="3" t="s">
        <v>2634</v>
      </c>
      <c r="F543" s="3" t="s">
        <v>2635</v>
      </c>
      <c r="G543" s="3"/>
      <c r="H543" s="3" t="s">
        <v>632</v>
      </c>
      <c r="I543" s="4"/>
      <c r="J543" s="4"/>
      <c r="K543" s="4"/>
      <c r="L543" s="4"/>
    </row>
    <row r="544" spans="1:12" x14ac:dyDescent="0.25">
      <c r="A544" s="2" t="str">
        <f>HYPERLINK("https://www.list-org.com/company/13770932","https://www.list-org.com/company/13770932")</f>
        <v>https://www.list-org.com/company/13770932</v>
      </c>
      <c r="B544" s="3" t="s">
        <v>2636</v>
      </c>
      <c r="C544" s="3" t="s">
        <v>2637</v>
      </c>
      <c r="D544" s="3" t="s">
        <v>14</v>
      </c>
      <c r="E544" s="3" t="s">
        <v>2638</v>
      </c>
      <c r="F544" s="3" t="s">
        <v>2639</v>
      </c>
      <c r="G544" s="3"/>
      <c r="H544" s="3" t="s">
        <v>1113</v>
      </c>
      <c r="I544" s="4"/>
      <c r="J544" s="4"/>
      <c r="K544" s="4"/>
      <c r="L544" s="4"/>
    </row>
    <row r="545" spans="1:12" x14ac:dyDescent="0.25">
      <c r="A545" s="2" t="str">
        <f>HYPERLINK("https://www.list-org.com/company/13771162","https://www.list-org.com/company/13771162")</f>
        <v>https://www.list-org.com/company/13771162</v>
      </c>
      <c r="B545" s="3" t="s">
        <v>2640</v>
      </c>
      <c r="C545" s="3" t="s">
        <v>2641</v>
      </c>
      <c r="D545" s="3" t="s">
        <v>14</v>
      </c>
      <c r="E545" s="3" t="s">
        <v>2642</v>
      </c>
      <c r="F545" s="3" t="s">
        <v>2643</v>
      </c>
      <c r="G545" s="3"/>
      <c r="H545" s="3" t="s">
        <v>1720</v>
      </c>
      <c r="I545" s="4"/>
      <c r="J545" s="4"/>
      <c r="K545" s="4"/>
      <c r="L545" s="4"/>
    </row>
    <row r="546" spans="1:12" x14ac:dyDescent="0.25">
      <c r="A546" s="2" t="str">
        <f>HYPERLINK("https://www.list-org.com/company/13771163","https://www.list-org.com/company/13771163")</f>
        <v>https://www.list-org.com/company/13771163</v>
      </c>
      <c r="B546" s="3" t="s">
        <v>2644</v>
      </c>
      <c r="C546" s="3" t="s">
        <v>2645</v>
      </c>
      <c r="D546" s="3" t="s">
        <v>14</v>
      </c>
      <c r="E546" s="3" t="s">
        <v>2646</v>
      </c>
      <c r="F546" s="3" t="s">
        <v>2647</v>
      </c>
      <c r="G546" s="3"/>
      <c r="H546" s="3" t="s">
        <v>2648</v>
      </c>
      <c r="I546" s="4"/>
      <c r="J546" s="4"/>
      <c r="K546" s="4"/>
      <c r="L546" s="4"/>
    </row>
    <row r="547" spans="1:12" x14ac:dyDescent="0.25">
      <c r="A547" s="2" t="str">
        <f>HYPERLINK("https://www.list-org.com/company/13771273","https://www.list-org.com/company/13771273")</f>
        <v>https://www.list-org.com/company/13771273</v>
      </c>
      <c r="B547" s="3" t="s">
        <v>2649</v>
      </c>
      <c r="C547" s="3" t="s">
        <v>2650</v>
      </c>
      <c r="D547" s="3" t="s">
        <v>14</v>
      </c>
      <c r="E547" s="3" t="s">
        <v>2651</v>
      </c>
      <c r="F547" s="3" t="s">
        <v>2652</v>
      </c>
      <c r="G547" s="3"/>
      <c r="H547" s="3" t="s">
        <v>1799</v>
      </c>
      <c r="I547" s="4"/>
      <c r="J547" s="4"/>
      <c r="K547" s="4"/>
      <c r="L547" s="4"/>
    </row>
    <row r="548" spans="1:12" x14ac:dyDescent="0.25">
      <c r="A548" s="2" t="str">
        <f>HYPERLINK("https://www.list-org.com/company/13771357","https://www.list-org.com/company/13771357")</f>
        <v>https://www.list-org.com/company/13771357</v>
      </c>
      <c r="B548" s="3" t="s">
        <v>2653</v>
      </c>
      <c r="C548" s="3" t="s">
        <v>2654</v>
      </c>
      <c r="D548" s="3" t="s">
        <v>14</v>
      </c>
      <c r="E548" s="3" t="s">
        <v>2655</v>
      </c>
      <c r="F548" s="3" t="s">
        <v>2656</v>
      </c>
      <c r="G548" s="3"/>
      <c r="H548" s="3" t="s">
        <v>2657</v>
      </c>
      <c r="I548" s="4"/>
      <c r="J548" s="4"/>
      <c r="K548" s="4"/>
      <c r="L548" s="4"/>
    </row>
    <row r="549" spans="1:12" x14ac:dyDescent="0.25">
      <c r="A549" s="2" t="str">
        <f>HYPERLINK("https://www.list-org.com/company/13771358","https://www.list-org.com/company/13771358")</f>
        <v>https://www.list-org.com/company/13771358</v>
      </c>
      <c r="B549" s="3" t="s">
        <v>2658</v>
      </c>
      <c r="C549" s="3" t="s">
        <v>2659</v>
      </c>
      <c r="D549" s="3" t="s">
        <v>14</v>
      </c>
      <c r="E549" s="3" t="s">
        <v>2660</v>
      </c>
      <c r="F549" s="3" t="s">
        <v>2661</v>
      </c>
      <c r="G549" s="3"/>
      <c r="H549" s="3" t="s">
        <v>2662</v>
      </c>
      <c r="I549" s="4"/>
      <c r="J549" s="4"/>
      <c r="K549" s="4"/>
      <c r="L549" s="4"/>
    </row>
    <row r="550" spans="1:12" x14ac:dyDescent="0.25">
      <c r="A550" s="2" t="str">
        <f>HYPERLINK("https://www.list-org.com/company/13771480","https://www.list-org.com/company/13771480")</f>
        <v>https://www.list-org.com/company/13771480</v>
      </c>
      <c r="B550" s="3" t="s">
        <v>2663</v>
      </c>
      <c r="C550" s="3" t="s">
        <v>2664</v>
      </c>
      <c r="D550" s="3" t="s">
        <v>14</v>
      </c>
      <c r="E550" s="3" t="s">
        <v>2665</v>
      </c>
      <c r="F550" s="3" t="s">
        <v>2666</v>
      </c>
      <c r="G550" s="3"/>
      <c r="H550" s="3" t="s">
        <v>2667</v>
      </c>
      <c r="I550" s="4"/>
      <c r="J550" s="4"/>
      <c r="K550" s="4"/>
      <c r="L550" s="4"/>
    </row>
    <row r="551" spans="1:12" x14ac:dyDescent="0.25">
      <c r="A551" s="2" t="str">
        <f>HYPERLINK("https://www.list-org.com/company/13771675","https://www.list-org.com/company/13771675")</f>
        <v>https://www.list-org.com/company/13771675</v>
      </c>
      <c r="B551" s="3" t="s">
        <v>2668</v>
      </c>
      <c r="C551" s="3" t="s">
        <v>2669</v>
      </c>
      <c r="D551" s="3" t="s">
        <v>14</v>
      </c>
      <c r="E551" s="3" t="s">
        <v>2670</v>
      </c>
      <c r="F551" s="3" t="s">
        <v>2671</v>
      </c>
      <c r="G551" s="3"/>
      <c r="H551" s="3" t="s">
        <v>2672</v>
      </c>
      <c r="I551" s="4"/>
      <c r="J551" s="4"/>
      <c r="K551" s="4"/>
      <c r="L551" s="4"/>
    </row>
    <row r="552" spans="1:12" x14ac:dyDescent="0.25">
      <c r="A552" s="2" t="str">
        <f>HYPERLINK("https://www.list-org.com/company/13771696","https://www.list-org.com/company/13771696")</f>
        <v>https://www.list-org.com/company/13771696</v>
      </c>
      <c r="B552" s="3" t="s">
        <v>2673</v>
      </c>
      <c r="C552" s="3" t="s">
        <v>2674</v>
      </c>
      <c r="D552" s="3" t="s">
        <v>14</v>
      </c>
      <c r="E552" s="3" t="s">
        <v>2675</v>
      </c>
      <c r="F552" s="3" t="s">
        <v>2676</v>
      </c>
      <c r="G552" s="3"/>
      <c r="H552" s="3" t="s">
        <v>2677</v>
      </c>
      <c r="I552" s="4"/>
      <c r="J552" s="4"/>
      <c r="K552" s="4"/>
      <c r="L552" s="4"/>
    </row>
    <row r="553" spans="1:12" x14ac:dyDescent="0.25">
      <c r="A553" s="2" t="str">
        <f>HYPERLINK("https://www.list-org.com/company/13771980","https://www.list-org.com/company/13771980")</f>
        <v>https://www.list-org.com/company/13771980</v>
      </c>
      <c r="B553" s="3" t="s">
        <v>2678</v>
      </c>
      <c r="C553" s="3" t="s">
        <v>2679</v>
      </c>
      <c r="D553" s="3" t="s">
        <v>14</v>
      </c>
      <c r="E553" s="3" t="s">
        <v>2680</v>
      </c>
      <c r="F553" s="3" t="s">
        <v>2681</v>
      </c>
      <c r="G553" s="3"/>
      <c r="H553" s="3" t="s">
        <v>2682</v>
      </c>
      <c r="I553" s="4"/>
      <c r="J553" s="4"/>
      <c r="K553" s="4"/>
      <c r="L553" s="4"/>
    </row>
    <row r="554" spans="1:12" x14ac:dyDescent="0.25">
      <c r="A554" s="2" t="str">
        <f>HYPERLINK("https://www.list-org.com/company/13772031","https://www.list-org.com/company/13772031")</f>
        <v>https://www.list-org.com/company/13772031</v>
      </c>
      <c r="B554" s="3" t="s">
        <v>2683</v>
      </c>
      <c r="C554" s="3" t="s">
        <v>2684</v>
      </c>
      <c r="D554" s="3" t="s">
        <v>14</v>
      </c>
      <c r="E554" s="3" t="s">
        <v>2685</v>
      </c>
      <c r="F554" s="3" t="s">
        <v>2686</v>
      </c>
      <c r="G554" s="3"/>
      <c r="H554" s="3" t="s">
        <v>682</v>
      </c>
      <c r="I554" s="4"/>
      <c r="J554" s="4"/>
      <c r="K554" s="4"/>
      <c r="L554" s="4"/>
    </row>
    <row r="555" spans="1:12" x14ac:dyDescent="0.25">
      <c r="A555" s="2" t="str">
        <f>HYPERLINK("https://www.list-org.com/company/13772032","https://www.list-org.com/company/13772032")</f>
        <v>https://www.list-org.com/company/13772032</v>
      </c>
      <c r="B555" s="3" t="s">
        <v>2687</v>
      </c>
      <c r="C555" s="3" t="s">
        <v>2688</v>
      </c>
      <c r="D555" s="3" t="s">
        <v>14</v>
      </c>
      <c r="E555" s="3" t="s">
        <v>2689</v>
      </c>
      <c r="F555" s="3" t="s">
        <v>2690</v>
      </c>
      <c r="G555" s="3"/>
      <c r="H555" s="3" t="s">
        <v>682</v>
      </c>
      <c r="I555" s="4"/>
      <c r="J555" s="4"/>
      <c r="K555" s="4"/>
      <c r="L555" s="4"/>
    </row>
    <row r="556" spans="1:12" x14ac:dyDescent="0.25">
      <c r="A556" s="2" t="str">
        <f>HYPERLINK("https://www.list-org.com/company/13772303","https://www.list-org.com/company/13772303")</f>
        <v>https://www.list-org.com/company/13772303</v>
      </c>
      <c r="B556" s="3" t="s">
        <v>2691</v>
      </c>
      <c r="C556" s="3" t="s">
        <v>2692</v>
      </c>
      <c r="D556" s="3" t="s">
        <v>14</v>
      </c>
      <c r="E556" s="3" t="s">
        <v>2693</v>
      </c>
      <c r="F556" s="3" t="s">
        <v>2694</v>
      </c>
      <c r="G556" s="3"/>
      <c r="H556" s="3" t="s">
        <v>2695</v>
      </c>
      <c r="I556" s="4"/>
      <c r="J556" s="4"/>
      <c r="K556" s="4"/>
      <c r="L556" s="4"/>
    </row>
    <row r="557" spans="1:12" x14ac:dyDescent="0.25">
      <c r="A557" s="2" t="str">
        <f>HYPERLINK("https://www.list-org.com/company/13772317","https://www.list-org.com/company/13772317")</f>
        <v>https://www.list-org.com/company/13772317</v>
      </c>
      <c r="B557" s="3" t="s">
        <v>2696</v>
      </c>
      <c r="C557" s="3" t="s">
        <v>2697</v>
      </c>
      <c r="D557" s="3" t="s">
        <v>14</v>
      </c>
      <c r="E557" s="3" t="s">
        <v>2698</v>
      </c>
      <c r="F557" s="3" t="s">
        <v>2699</v>
      </c>
      <c r="G557" s="3"/>
      <c r="H557" s="3" t="s">
        <v>2700</v>
      </c>
      <c r="I557" s="4"/>
      <c r="J557" s="4"/>
      <c r="K557" s="4"/>
      <c r="L557" s="4"/>
    </row>
    <row r="558" spans="1:12" x14ac:dyDescent="0.25">
      <c r="A558" s="2" t="str">
        <f>HYPERLINK("https://www.list-org.com/company/13772330","https://www.list-org.com/company/13772330")</f>
        <v>https://www.list-org.com/company/13772330</v>
      </c>
      <c r="B558" s="3" t="s">
        <v>2701</v>
      </c>
      <c r="C558" s="3" t="s">
        <v>2702</v>
      </c>
      <c r="D558" s="3" t="s">
        <v>14</v>
      </c>
      <c r="E558" s="3" t="s">
        <v>2703</v>
      </c>
      <c r="F558" s="3" t="s">
        <v>2704</v>
      </c>
      <c r="G558" s="3"/>
      <c r="H558" s="3" t="s">
        <v>2040</v>
      </c>
      <c r="I558" s="4"/>
      <c r="J558" s="4"/>
      <c r="K558" s="4"/>
      <c r="L558" s="4"/>
    </row>
    <row r="559" spans="1:12" x14ac:dyDescent="0.25">
      <c r="A559" s="2" t="str">
        <f>HYPERLINK("https://www.list-org.com/company/13772603","https://www.list-org.com/company/13772603")</f>
        <v>https://www.list-org.com/company/13772603</v>
      </c>
      <c r="B559" s="3" t="s">
        <v>2705</v>
      </c>
      <c r="C559" s="3" t="s">
        <v>2706</v>
      </c>
      <c r="D559" s="3" t="s">
        <v>14</v>
      </c>
      <c r="E559" s="3" t="s">
        <v>2707</v>
      </c>
      <c r="F559" s="3" t="s">
        <v>2708</v>
      </c>
      <c r="G559" s="3"/>
      <c r="H559" s="3" t="s">
        <v>2709</v>
      </c>
      <c r="I559" s="4"/>
      <c r="J559" s="4"/>
      <c r="K559" s="4"/>
      <c r="L559" s="4"/>
    </row>
    <row r="560" spans="1:12" x14ac:dyDescent="0.25">
      <c r="A560" s="2" t="str">
        <f>HYPERLINK("https://www.list-org.com/company/13772635","https://www.list-org.com/company/13772635")</f>
        <v>https://www.list-org.com/company/13772635</v>
      </c>
      <c r="B560" s="3" t="s">
        <v>2710</v>
      </c>
      <c r="C560" s="3" t="s">
        <v>2710</v>
      </c>
      <c r="D560" s="3" t="s">
        <v>14</v>
      </c>
      <c r="E560" s="3" t="s">
        <v>2711</v>
      </c>
      <c r="F560" s="3" t="s">
        <v>2712</v>
      </c>
      <c r="G560" s="3"/>
      <c r="H560" s="3" t="s">
        <v>106</v>
      </c>
      <c r="I560" s="4"/>
      <c r="J560" s="4"/>
      <c r="K560" s="4"/>
      <c r="L560" s="4"/>
    </row>
    <row r="561" spans="1:12" x14ac:dyDescent="0.25">
      <c r="A561" s="2" t="str">
        <f>HYPERLINK("https://www.list-org.com/company/13772639","https://www.list-org.com/company/13772639")</f>
        <v>https://www.list-org.com/company/13772639</v>
      </c>
      <c r="B561" s="3" t="s">
        <v>2713</v>
      </c>
      <c r="C561" s="3" t="s">
        <v>2714</v>
      </c>
      <c r="D561" s="3" t="s">
        <v>14</v>
      </c>
      <c r="E561" s="3" t="s">
        <v>2715</v>
      </c>
      <c r="F561" s="3" t="s">
        <v>2716</v>
      </c>
      <c r="G561" s="3"/>
      <c r="H561" s="3" t="s">
        <v>483</v>
      </c>
      <c r="I561" s="4"/>
      <c r="J561" s="4"/>
      <c r="K561" s="4"/>
      <c r="L561" s="4"/>
    </row>
    <row r="562" spans="1:12" x14ac:dyDescent="0.25">
      <c r="A562" s="2" t="str">
        <f>HYPERLINK("https://www.list-org.com/company/13772640","https://www.list-org.com/company/13772640")</f>
        <v>https://www.list-org.com/company/13772640</v>
      </c>
      <c r="B562" s="3" t="s">
        <v>2717</v>
      </c>
      <c r="C562" s="3" t="s">
        <v>2718</v>
      </c>
      <c r="D562" s="3" t="s">
        <v>14</v>
      </c>
      <c r="E562" s="3" t="s">
        <v>2719</v>
      </c>
      <c r="F562" s="3" t="s">
        <v>2720</v>
      </c>
      <c r="G562" s="3"/>
      <c r="H562" s="3" t="s">
        <v>483</v>
      </c>
      <c r="I562" s="4"/>
      <c r="J562" s="4"/>
      <c r="K562" s="4"/>
      <c r="L562" s="4"/>
    </row>
    <row r="563" spans="1:12" x14ac:dyDescent="0.25">
      <c r="A563" s="2" t="str">
        <f>HYPERLINK("https://www.list-org.com/company/13772908","https://www.list-org.com/company/13772908")</f>
        <v>https://www.list-org.com/company/13772908</v>
      </c>
      <c r="B563" s="3" t="s">
        <v>2721</v>
      </c>
      <c r="C563" s="3" t="s">
        <v>2722</v>
      </c>
      <c r="D563" s="3" t="s">
        <v>14</v>
      </c>
      <c r="E563" s="3" t="s">
        <v>2723</v>
      </c>
      <c r="F563" s="3" t="s">
        <v>2724</v>
      </c>
      <c r="G563" s="3"/>
      <c r="H563" s="3" t="s">
        <v>1461</v>
      </c>
      <c r="I563" s="4"/>
      <c r="J563" s="4"/>
      <c r="K563" s="4"/>
      <c r="L563" s="4"/>
    </row>
    <row r="564" spans="1:12" x14ac:dyDescent="0.25">
      <c r="A564" s="2" t="str">
        <f>HYPERLINK("https://www.list-org.com/company/13772983","https://www.list-org.com/company/13772983")</f>
        <v>https://www.list-org.com/company/13772983</v>
      </c>
      <c r="B564" s="3" t="s">
        <v>2725</v>
      </c>
      <c r="C564" s="3" t="s">
        <v>2726</v>
      </c>
      <c r="D564" s="3" t="s">
        <v>14</v>
      </c>
      <c r="E564" s="3" t="s">
        <v>2727</v>
      </c>
      <c r="F564" s="3" t="s">
        <v>2728</v>
      </c>
      <c r="G564" s="3"/>
      <c r="H564" s="3" t="s">
        <v>2729</v>
      </c>
      <c r="I564" s="4"/>
      <c r="J564" s="4"/>
      <c r="K564" s="4"/>
      <c r="L564" s="4"/>
    </row>
    <row r="565" spans="1:12" x14ac:dyDescent="0.25">
      <c r="A565" s="2" t="str">
        <f>HYPERLINK("https://www.list-org.com/company/13772995","https://www.list-org.com/company/13772995")</f>
        <v>https://www.list-org.com/company/13772995</v>
      </c>
      <c r="B565" s="3" t="s">
        <v>2730</v>
      </c>
      <c r="C565" s="3" t="s">
        <v>2731</v>
      </c>
      <c r="D565" s="3" t="s">
        <v>14</v>
      </c>
      <c r="E565" s="3" t="s">
        <v>2732</v>
      </c>
      <c r="F565" s="3" t="s">
        <v>2733</v>
      </c>
      <c r="G565" s="3"/>
      <c r="H565" s="3" t="s">
        <v>2734</v>
      </c>
      <c r="I565" s="4"/>
      <c r="J565" s="4"/>
      <c r="K565" s="4"/>
      <c r="L565" s="4"/>
    </row>
    <row r="566" spans="1:12" x14ac:dyDescent="0.25">
      <c r="A566" s="2" t="str">
        <f>HYPERLINK("https://www.list-org.com/company/13773006","https://www.list-org.com/company/13773006")</f>
        <v>https://www.list-org.com/company/13773006</v>
      </c>
      <c r="B566" s="3" t="s">
        <v>2735</v>
      </c>
      <c r="C566" s="3" t="s">
        <v>2736</v>
      </c>
      <c r="D566" s="3" t="s">
        <v>14</v>
      </c>
      <c r="E566" s="3" t="s">
        <v>2737</v>
      </c>
      <c r="F566" s="3" t="s">
        <v>2738</v>
      </c>
      <c r="G566" s="3"/>
      <c r="H566" s="3" t="s">
        <v>2739</v>
      </c>
      <c r="I566" s="4"/>
      <c r="J566" s="4"/>
      <c r="K566" s="4"/>
      <c r="L566" s="4"/>
    </row>
    <row r="567" spans="1:12" x14ac:dyDescent="0.25">
      <c r="A567" s="2" t="str">
        <f>HYPERLINK("https://www.list-org.com/company/13773013","https://www.list-org.com/company/13773013")</f>
        <v>https://www.list-org.com/company/13773013</v>
      </c>
      <c r="B567" s="3" t="s">
        <v>2740</v>
      </c>
      <c r="C567" s="3" t="s">
        <v>2741</v>
      </c>
      <c r="D567" s="3" t="s">
        <v>14</v>
      </c>
      <c r="E567" s="3" t="s">
        <v>2742</v>
      </c>
      <c r="F567" s="3" t="s">
        <v>2743</v>
      </c>
      <c r="G567" s="3"/>
      <c r="H567" s="3" t="s">
        <v>2744</v>
      </c>
      <c r="I567" s="4"/>
      <c r="J567" s="4"/>
      <c r="K567" s="4"/>
      <c r="L567" s="4"/>
    </row>
    <row r="568" spans="1:12" x14ac:dyDescent="0.25">
      <c r="A568" s="2" t="str">
        <f>HYPERLINK("https://www.list-org.com/company/13773029","https://www.list-org.com/company/13773029")</f>
        <v>https://www.list-org.com/company/13773029</v>
      </c>
      <c r="B568" s="3" t="s">
        <v>2745</v>
      </c>
      <c r="C568" s="3" t="s">
        <v>2746</v>
      </c>
      <c r="D568" s="3" t="s">
        <v>14</v>
      </c>
      <c r="E568" s="3" t="s">
        <v>2747</v>
      </c>
      <c r="F568" s="3" t="s">
        <v>2748</v>
      </c>
      <c r="G568" s="3"/>
      <c r="H568" s="3" t="s">
        <v>2749</v>
      </c>
      <c r="I568" s="4"/>
      <c r="J568" s="4"/>
      <c r="K568" s="4"/>
      <c r="L568" s="4"/>
    </row>
    <row r="569" spans="1:12" x14ac:dyDescent="0.25">
      <c r="A569" s="2" t="str">
        <f>HYPERLINK("https://www.list-org.com/company/13773056","https://www.list-org.com/company/13773056")</f>
        <v>https://www.list-org.com/company/13773056</v>
      </c>
      <c r="B569" s="3" t="s">
        <v>2750</v>
      </c>
      <c r="C569" s="3" t="s">
        <v>2751</v>
      </c>
      <c r="D569" s="3" t="s">
        <v>14</v>
      </c>
      <c r="E569" s="3" t="s">
        <v>2752</v>
      </c>
      <c r="F569" s="3" t="s">
        <v>2753</v>
      </c>
      <c r="G569" s="3"/>
      <c r="H569" s="3" t="s">
        <v>2754</v>
      </c>
      <c r="I569" s="4"/>
      <c r="J569" s="4"/>
      <c r="K569" s="4"/>
      <c r="L569" s="4"/>
    </row>
    <row r="570" spans="1:12" x14ac:dyDescent="0.25">
      <c r="A570" s="2" t="str">
        <f>HYPERLINK("https://www.list-org.com/company/13773060","https://www.list-org.com/company/13773060")</f>
        <v>https://www.list-org.com/company/13773060</v>
      </c>
      <c r="B570" s="3" t="s">
        <v>2755</v>
      </c>
      <c r="C570" s="3" t="s">
        <v>2756</v>
      </c>
      <c r="D570" s="3" t="s">
        <v>14</v>
      </c>
      <c r="E570" s="3" t="s">
        <v>2757</v>
      </c>
      <c r="F570" s="3" t="s">
        <v>2758</v>
      </c>
      <c r="G570" s="3"/>
      <c r="H570" s="3" t="s">
        <v>2759</v>
      </c>
      <c r="I570" s="4"/>
      <c r="J570" s="4"/>
      <c r="K570" s="4"/>
      <c r="L570" s="4"/>
    </row>
    <row r="571" spans="1:12" x14ac:dyDescent="0.25">
      <c r="A571" s="2" t="str">
        <f>HYPERLINK("https://www.list-org.com/company/13773065","https://www.list-org.com/company/13773065")</f>
        <v>https://www.list-org.com/company/13773065</v>
      </c>
      <c r="B571" s="3" t="s">
        <v>2760</v>
      </c>
      <c r="C571" s="3" t="s">
        <v>2761</v>
      </c>
      <c r="D571" s="3" t="s">
        <v>14</v>
      </c>
      <c r="E571" s="3" t="s">
        <v>2762</v>
      </c>
      <c r="F571" s="3" t="s">
        <v>2763</v>
      </c>
      <c r="G571" s="3"/>
      <c r="H571" s="3" t="s">
        <v>2764</v>
      </c>
      <c r="I571" s="4"/>
      <c r="J571" s="4"/>
      <c r="K571" s="4"/>
      <c r="L571" s="4"/>
    </row>
    <row r="572" spans="1:12" x14ac:dyDescent="0.25">
      <c r="A572" s="2" t="str">
        <f>HYPERLINK("https://www.list-org.com/company/13773228","https://www.list-org.com/company/13773228")</f>
        <v>https://www.list-org.com/company/13773228</v>
      </c>
      <c r="B572" s="3" t="s">
        <v>2765</v>
      </c>
      <c r="C572" s="3" t="s">
        <v>2766</v>
      </c>
      <c r="D572" s="3" t="s">
        <v>14</v>
      </c>
      <c r="E572" s="3" t="s">
        <v>2767</v>
      </c>
      <c r="F572" s="3" t="s">
        <v>2768</v>
      </c>
      <c r="G572" s="3"/>
      <c r="H572" s="3" t="s">
        <v>2769</v>
      </c>
      <c r="I572" s="4"/>
      <c r="J572" s="4"/>
      <c r="K572" s="4"/>
      <c r="L572" s="4"/>
    </row>
    <row r="573" spans="1:12" x14ac:dyDescent="0.25">
      <c r="A573" s="2" t="str">
        <f>HYPERLINK("https://www.list-org.com/company/13773236","https://www.list-org.com/company/13773236")</f>
        <v>https://www.list-org.com/company/13773236</v>
      </c>
      <c r="B573" s="3" t="s">
        <v>2770</v>
      </c>
      <c r="C573" s="3" t="s">
        <v>2771</v>
      </c>
      <c r="D573" s="3" t="s">
        <v>14</v>
      </c>
      <c r="E573" s="3" t="s">
        <v>2772</v>
      </c>
      <c r="F573" s="3" t="s">
        <v>2773</v>
      </c>
      <c r="G573" s="3"/>
      <c r="H573" s="3" t="s">
        <v>2774</v>
      </c>
      <c r="I573" s="4"/>
      <c r="J573" s="4"/>
      <c r="K573" s="4"/>
      <c r="L573" s="4"/>
    </row>
    <row r="574" spans="1:12" x14ac:dyDescent="0.25">
      <c r="A574" s="2" t="str">
        <f>HYPERLINK("https://www.list-org.com/company/13773262","https://www.list-org.com/company/13773262")</f>
        <v>https://www.list-org.com/company/13773262</v>
      </c>
      <c r="B574" s="3" t="s">
        <v>2775</v>
      </c>
      <c r="C574" s="3" t="s">
        <v>2776</v>
      </c>
      <c r="D574" s="3" t="s">
        <v>14</v>
      </c>
      <c r="E574" s="3" t="s">
        <v>2777</v>
      </c>
      <c r="F574" s="3" t="s">
        <v>2778</v>
      </c>
      <c r="G574" s="3"/>
      <c r="H574" s="3" t="s">
        <v>2779</v>
      </c>
      <c r="I574" s="4"/>
      <c r="J574" s="4"/>
      <c r="K574" s="4"/>
      <c r="L574" s="4"/>
    </row>
    <row r="575" spans="1:12" x14ac:dyDescent="0.25">
      <c r="A575" s="2" t="str">
        <f>HYPERLINK("https://www.list-org.com/company/13773292","https://www.list-org.com/company/13773292")</f>
        <v>https://www.list-org.com/company/13773292</v>
      </c>
      <c r="B575" s="3" t="s">
        <v>2780</v>
      </c>
      <c r="C575" s="3" t="s">
        <v>2781</v>
      </c>
      <c r="D575" s="3" t="s">
        <v>14</v>
      </c>
      <c r="E575" s="3" t="s">
        <v>2782</v>
      </c>
      <c r="F575" s="3" t="s">
        <v>2783</v>
      </c>
      <c r="G575" s="3"/>
      <c r="H575" s="3" t="s">
        <v>1108</v>
      </c>
      <c r="I575" s="4"/>
      <c r="J575" s="4"/>
      <c r="K575" s="4"/>
      <c r="L575" s="4"/>
    </row>
    <row r="576" spans="1:12" x14ac:dyDescent="0.25">
      <c r="A576" s="2" t="str">
        <f>HYPERLINK("https://www.list-org.com/company/13773498","https://www.list-org.com/company/13773498")</f>
        <v>https://www.list-org.com/company/13773498</v>
      </c>
      <c r="B576" s="3" t="s">
        <v>2784</v>
      </c>
      <c r="C576" s="3" t="s">
        <v>2785</v>
      </c>
      <c r="D576" s="3" t="s">
        <v>14</v>
      </c>
      <c r="E576" s="3" t="s">
        <v>2786</v>
      </c>
      <c r="F576" s="3" t="s">
        <v>2787</v>
      </c>
      <c r="G576" s="3"/>
      <c r="H576" s="3" t="s">
        <v>2788</v>
      </c>
      <c r="I576" s="4"/>
      <c r="J576" s="4"/>
      <c r="K576" s="4"/>
      <c r="L576" s="4"/>
    </row>
    <row r="577" spans="1:12" x14ac:dyDescent="0.25">
      <c r="A577" s="2" t="str">
        <f>HYPERLINK("https://www.list-org.com/company/13773528","https://www.list-org.com/company/13773528")</f>
        <v>https://www.list-org.com/company/13773528</v>
      </c>
      <c r="B577" s="3" t="s">
        <v>2789</v>
      </c>
      <c r="C577" s="3" t="s">
        <v>2790</v>
      </c>
      <c r="D577" s="3" t="s">
        <v>14</v>
      </c>
      <c r="E577" s="3" t="s">
        <v>2791</v>
      </c>
      <c r="F577" s="3" t="s">
        <v>2792</v>
      </c>
      <c r="G577" s="3"/>
      <c r="H577" s="3" t="s">
        <v>2793</v>
      </c>
      <c r="I577" s="4"/>
      <c r="J577" s="4"/>
      <c r="K577" s="4"/>
      <c r="L577" s="4"/>
    </row>
    <row r="578" spans="1:12" x14ac:dyDescent="0.25">
      <c r="A578" s="2" t="str">
        <f>HYPERLINK("https://www.list-org.com/company/13773604","https://www.list-org.com/company/13773604")</f>
        <v>https://www.list-org.com/company/13773604</v>
      </c>
      <c r="B578" s="3" t="s">
        <v>2794</v>
      </c>
      <c r="C578" s="3" t="s">
        <v>2795</v>
      </c>
      <c r="D578" s="3" t="s">
        <v>14</v>
      </c>
      <c r="E578" s="3" t="s">
        <v>2796</v>
      </c>
      <c r="F578" s="3" t="s">
        <v>2797</v>
      </c>
      <c r="G578" s="3"/>
      <c r="H578" s="3" t="s">
        <v>2798</v>
      </c>
      <c r="I578" s="4">
        <v>1</v>
      </c>
      <c r="J578" s="4">
        <v>808</v>
      </c>
      <c r="K578" s="4">
        <v>240</v>
      </c>
      <c r="L578" s="4">
        <v>14358</v>
      </c>
    </row>
    <row r="579" spans="1:12" x14ac:dyDescent="0.25">
      <c r="A579" s="2" t="str">
        <f>HYPERLINK("https://www.list-org.com/company/13773631","https://www.list-org.com/company/13773631")</f>
        <v>https://www.list-org.com/company/13773631</v>
      </c>
      <c r="B579" s="3" t="s">
        <v>2799</v>
      </c>
      <c r="C579" s="3" t="s">
        <v>2800</v>
      </c>
      <c r="D579" s="3" t="s">
        <v>14</v>
      </c>
      <c r="E579" s="3" t="s">
        <v>2801</v>
      </c>
      <c r="F579" s="3" t="s">
        <v>2802</v>
      </c>
      <c r="G579" s="3"/>
      <c r="H579" s="3" t="s">
        <v>2803</v>
      </c>
      <c r="I579" s="4"/>
      <c r="J579" s="4"/>
      <c r="K579" s="4"/>
      <c r="L579" s="4"/>
    </row>
    <row r="580" spans="1:12" x14ac:dyDescent="0.25">
      <c r="A580" s="2" t="str">
        <f>HYPERLINK("https://www.list-org.com/company/13774093","https://www.list-org.com/company/13774093")</f>
        <v>https://www.list-org.com/company/13774093</v>
      </c>
      <c r="B580" s="3" t="s">
        <v>2804</v>
      </c>
      <c r="C580" s="3" t="s">
        <v>2805</v>
      </c>
      <c r="D580" s="3" t="s">
        <v>14</v>
      </c>
      <c r="E580" s="3" t="s">
        <v>2806</v>
      </c>
      <c r="F580" s="3" t="s">
        <v>2807</v>
      </c>
      <c r="G580" s="3"/>
      <c r="H580" s="3" t="s">
        <v>2808</v>
      </c>
      <c r="I580" s="4"/>
      <c r="J580" s="4"/>
      <c r="K580" s="4"/>
      <c r="L580" s="4"/>
    </row>
    <row r="581" spans="1:12" x14ac:dyDescent="0.25">
      <c r="A581" s="2" t="str">
        <f>HYPERLINK("https://www.list-org.com/company/13774194","https://www.list-org.com/company/13774194")</f>
        <v>https://www.list-org.com/company/13774194</v>
      </c>
      <c r="B581" s="3" t="s">
        <v>2809</v>
      </c>
      <c r="C581" s="3" t="s">
        <v>2810</v>
      </c>
      <c r="D581" s="3" t="s">
        <v>14</v>
      </c>
      <c r="E581" s="3" t="s">
        <v>2811</v>
      </c>
      <c r="F581" s="3" t="s">
        <v>2812</v>
      </c>
      <c r="G581" s="3"/>
      <c r="H581" s="3" t="s">
        <v>2813</v>
      </c>
      <c r="I581" s="4"/>
      <c r="J581" s="4"/>
      <c r="K581" s="4"/>
      <c r="L581" s="4"/>
    </row>
    <row r="582" spans="1:12" x14ac:dyDescent="0.25">
      <c r="A582" s="2" t="str">
        <f>HYPERLINK("https://www.list-org.com/company/13774401","https://www.list-org.com/company/13774401")</f>
        <v>https://www.list-org.com/company/13774401</v>
      </c>
      <c r="B582" s="3" t="s">
        <v>2814</v>
      </c>
      <c r="C582" s="3" t="s">
        <v>2815</v>
      </c>
      <c r="D582" s="3" t="s">
        <v>14</v>
      </c>
      <c r="E582" s="3" t="s">
        <v>2816</v>
      </c>
      <c r="F582" s="3" t="s">
        <v>2817</v>
      </c>
      <c r="G582" s="3"/>
      <c r="H582" s="3" t="s">
        <v>2818</v>
      </c>
      <c r="I582" s="4"/>
      <c r="J582" s="4"/>
      <c r="K582" s="4"/>
      <c r="L582" s="4"/>
    </row>
    <row r="583" spans="1:12" x14ac:dyDescent="0.25">
      <c r="A583" s="2" t="str">
        <f>HYPERLINK("https://www.list-org.com/company/13774526","https://www.list-org.com/company/13774526")</f>
        <v>https://www.list-org.com/company/13774526</v>
      </c>
      <c r="B583" s="3" t="s">
        <v>2819</v>
      </c>
      <c r="C583" s="3" t="s">
        <v>2820</v>
      </c>
      <c r="D583" s="3" t="s">
        <v>14</v>
      </c>
      <c r="E583" s="3" t="s">
        <v>2821</v>
      </c>
      <c r="F583" s="3" t="s">
        <v>2822</v>
      </c>
      <c r="G583" s="3"/>
      <c r="H583" s="3" t="s">
        <v>1634</v>
      </c>
      <c r="I583" s="4"/>
      <c r="J583" s="4"/>
      <c r="K583" s="4"/>
      <c r="L583" s="4"/>
    </row>
    <row r="584" spans="1:12" x14ac:dyDescent="0.25">
      <c r="A584" s="2" t="str">
        <f>HYPERLINK("https://www.list-org.com/company/13774563","https://www.list-org.com/company/13774563")</f>
        <v>https://www.list-org.com/company/13774563</v>
      </c>
      <c r="B584" s="3" t="s">
        <v>857</v>
      </c>
      <c r="C584" s="3" t="s">
        <v>858</v>
      </c>
      <c r="D584" s="3" t="s">
        <v>14</v>
      </c>
      <c r="E584" s="3" t="s">
        <v>2823</v>
      </c>
      <c r="F584" s="3" t="s">
        <v>2824</v>
      </c>
      <c r="G584" s="3"/>
      <c r="H584" s="3" t="s">
        <v>2825</v>
      </c>
      <c r="I584" s="4"/>
      <c r="J584" s="4"/>
      <c r="K584" s="4"/>
      <c r="L584" s="4"/>
    </row>
    <row r="585" spans="1:12" x14ac:dyDescent="0.25">
      <c r="A585" s="2" t="str">
        <f>HYPERLINK("https://www.list-org.com/company/13774612","https://www.list-org.com/company/13774612")</f>
        <v>https://www.list-org.com/company/13774612</v>
      </c>
      <c r="B585" s="3" t="s">
        <v>2826</v>
      </c>
      <c r="C585" s="3" t="s">
        <v>2827</v>
      </c>
      <c r="D585" s="3" t="s">
        <v>14</v>
      </c>
      <c r="E585" s="3" t="s">
        <v>2828</v>
      </c>
      <c r="F585" s="3" t="s">
        <v>2829</v>
      </c>
      <c r="G585" s="3"/>
      <c r="H585" s="3" t="s">
        <v>2830</v>
      </c>
      <c r="I585" s="4"/>
      <c r="J585" s="4"/>
      <c r="K585" s="4"/>
      <c r="L585" s="4"/>
    </row>
    <row r="586" spans="1:12" x14ac:dyDescent="0.25">
      <c r="A586" s="2" t="str">
        <f>HYPERLINK("https://www.list-org.com/company/13774616","https://www.list-org.com/company/13774616")</f>
        <v>https://www.list-org.com/company/13774616</v>
      </c>
      <c r="B586" s="3" t="s">
        <v>2831</v>
      </c>
      <c r="C586" s="3" t="s">
        <v>2832</v>
      </c>
      <c r="D586" s="3" t="s">
        <v>14</v>
      </c>
      <c r="E586" s="3" t="s">
        <v>2833</v>
      </c>
      <c r="F586" s="3" t="s">
        <v>2834</v>
      </c>
      <c r="G586" s="3"/>
      <c r="H586" s="3" t="s">
        <v>1799</v>
      </c>
      <c r="I586" s="4"/>
      <c r="J586" s="4"/>
      <c r="K586" s="4"/>
      <c r="L586" s="4"/>
    </row>
    <row r="587" spans="1:12" x14ac:dyDescent="0.25">
      <c r="A587" s="2" t="str">
        <f>HYPERLINK("https://www.list-org.com/company/13774617","https://www.list-org.com/company/13774617")</f>
        <v>https://www.list-org.com/company/13774617</v>
      </c>
      <c r="B587" s="3" t="s">
        <v>2835</v>
      </c>
      <c r="C587" s="3" t="s">
        <v>2836</v>
      </c>
      <c r="D587" s="3" t="s">
        <v>14</v>
      </c>
      <c r="E587" s="3" t="s">
        <v>2837</v>
      </c>
      <c r="F587" s="3" t="s">
        <v>2838</v>
      </c>
      <c r="G587" s="3"/>
      <c r="H587" s="3" t="s">
        <v>1799</v>
      </c>
      <c r="I587" s="4">
        <v>1</v>
      </c>
      <c r="J587" s="4">
        <v>2040</v>
      </c>
      <c r="K587" s="4">
        <v>-4125</v>
      </c>
      <c r="L587" s="4">
        <v>-125</v>
      </c>
    </row>
    <row r="588" spans="1:12" x14ac:dyDescent="0.25">
      <c r="A588" s="2" t="str">
        <f>HYPERLINK("https://www.list-org.com/company/13774850","https://www.list-org.com/company/13774850")</f>
        <v>https://www.list-org.com/company/13774850</v>
      </c>
      <c r="B588" s="3" t="s">
        <v>2839</v>
      </c>
      <c r="C588" s="3" t="s">
        <v>2840</v>
      </c>
      <c r="D588" s="3" t="s">
        <v>14</v>
      </c>
      <c r="E588" s="3" t="s">
        <v>2841</v>
      </c>
      <c r="F588" s="3" t="s">
        <v>2842</v>
      </c>
      <c r="G588" s="3"/>
      <c r="H588" s="3" t="s">
        <v>2843</v>
      </c>
      <c r="I588" s="4"/>
      <c r="J588" s="4"/>
      <c r="K588" s="4"/>
      <c r="L588" s="4"/>
    </row>
    <row r="589" spans="1:12" x14ac:dyDescent="0.25">
      <c r="A589" s="2" t="str">
        <f>HYPERLINK("https://www.list-org.com/company/13774895","https://www.list-org.com/company/13774895")</f>
        <v>https://www.list-org.com/company/13774895</v>
      </c>
      <c r="B589" s="3" t="s">
        <v>2844</v>
      </c>
      <c r="C589" s="3" t="s">
        <v>2845</v>
      </c>
      <c r="D589" s="3" t="s">
        <v>14</v>
      </c>
      <c r="E589" s="3" t="s">
        <v>2846</v>
      </c>
      <c r="F589" s="3" t="s">
        <v>2847</v>
      </c>
      <c r="G589" s="3"/>
      <c r="H589" s="3" t="s">
        <v>2848</v>
      </c>
      <c r="I589" s="4"/>
      <c r="J589" s="4"/>
      <c r="K589" s="4"/>
      <c r="L589" s="4"/>
    </row>
    <row r="590" spans="1:12" x14ac:dyDescent="0.25">
      <c r="A590" s="2" t="str">
        <f>HYPERLINK("https://www.list-org.com/company/13774907","https://www.list-org.com/company/13774907")</f>
        <v>https://www.list-org.com/company/13774907</v>
      </c>
      <c r="B590" s="3" t="s">
        <v>2849</v>
      </c>
      <c r="C590" s="3" t="s">
        <v>2850</v>
      </c>
      <c r="D590" s="3" t="s">
        <v>14</v>
      </c>
      <c r="E590" s="3" t="s">
        <v>2851</v>
      </c>
      <c r="F590" s="3" t="s">
        <v>2852</v>
      </c>
      <c r="G590" s="3"/>
      <c r="H590" s="3" t="s">
        <v>1476</v>
      </c>
      <c r="I590" s="4"/>
      <c r="J590" s="4"/>
      <c r="K590" s="4"/>
      <c r="L590" s="4"/>
    </row>
    <row r="591" spans="1:12" x14ac:dyDescent="0.25">
      <c r="A591" s="2" t="str">
        <f>HYPERLINK("https://www.list-org.com/company/13774917","https://www.list-org.com/company/13774917")</f>
        <v>https://www.list-org.com/company/13774917</v>
      </c>
      <c r="B591" s="3" t="s">
        <v>2853</v>
      </c>
      <c r="C591" s="3" t="s">
        <v>2854</v>
      </c>
      <c r="D591" s="3" t="s">
        <v>14</v>
      </c>
      <c r="E591" s="3" t="s">
        <v>2855</v>
      </c>
      <c r="F591" s="3" t="s">
        <v>2856</v>
      </c>
      <c r="G591" s="3"/>
      <c r="H591" s="3" t="s">
        <v>1496</v>
      </c>
      <c r="I591" s="4"/>
      <c r="J591" s="4"/>
      <c r="K591" s="4"/>
      <c r="L591" s="4"/>
    </row>
    <row r="592" spans="1:12" x14ac:dyDescent="0.25">
      <c r="A592" s="2" t="str">
        <f>HYPERLINK("https://www.list-org.com/company/13774968","https://www.list-org.com/company/13774968")</f>
        <v>https://www.list-org.com/company/13774968</v>
      </c>
      <c r="B592" s="3" t="s">
        <v>2857</v>
      </c>
      <c r="C592" s="3" t="s">
        <v>2858</v>
      </c>
      <c r="D592" s="3" t="s">
        <v>14</v>
      </c>
      <c r="E592" s="3" t="s">
        <v>2859</v>
      </c>
      <c r="F592" s="3" t="s">
        <v>2860</v>
      </c>
      <c r="G592" s="3"/>
      <c r="H592" s="3" t="s">
        <v>2861</v>
      </c>
      <c r="I592" s="4"/>
      <c r="J592" s="4"/>
      <c r="K592" s="4"/>
      <c r="L592" s="4"/>
    </row>
    <row r="593" spans="1:12" x14ac:dyDescent="0.25">
      <c r="A593" s="2" t="str">
        <f>HYPERLINK("https://www.list-org.com/company/13775299","https://www.list-org.com/company/13775299")</f>
        <v>https://www.list-org.com/company/13775299</v>
      </c>
      <c r="B593" s="3" t="s">
        <v>2862</v>
      </c>
      <c r="C593" s="3" t="s">
        <v>2863</v>
      </c>
      <c r="D593" s="3" t="s">
        <v>14</v>
      </c>
      <c r="E593" s="3" t="s">
        <v>2864</v>
      </c>
      <c r="F593" s="3" t="s">
        <v>2865</v>
      </c>
      <c r="G593" s="3"/>
      <c r="H593" s="3" t="s">
        <v>2866</v>
      </c>
      <c r="I593" s="4"/>
      <c r="J593" s="4"/>
      <c r="K593" s="4"/>
      <c r="L593" s="4"/>
    </row>
    <row r="594" spans="1:12" x14ac:dyDescent="0.25">
      <c r="A594" s="2" t="str">
        <f>HYPERLINK("https://www.list-org.com/company/13775304","https://www.list-org.com/company/13775304")</f>
        <v>https://www.list-org.com/company/13775304</v>
      </c>
      <c r="B594" s="3" t="s">
        <v>2867</v>
      </c>
      <c r="C594" s="3" t="s">
        <v>2868</v>
      </c>
      <c r="D594" s="3" t="s">
        <v>14</v>
      </c>
      <c r="E594" s="3" t="s">
        <v>2869</v>
      </c>
      <c r="F594" s="3" t="s">
        <v>2870</v>
      </c>
      <c r="G594" s="3"/>
      <c r="H594" s="3" t="s">
        <v>2871</v>
      </c>
      <c r="I594" s="4"/>
      <c r="J594" s="4"/>
      <c r="K594" s="4"/>
      <c r="L594" s="4"/>
    </row>
    <row r="595" spans="1:12" x14ac:dyDescent="0.25">
      <c r="A595" s="2" t="str">
        <f>HYPERLINK("https://www.list-org.com/company/13775308","https://www.list-org.com/company/13775308")</f>
        <v>https://www.list-org.com/company/13775308</v>
      </c>
      <c r="B595" s="3" t="s">
        <v>2872</v>
      </c>
      <c r="C595" s="3" t="s">
        <v>2873</v>
      </c>
      <c r="D595" s="3" t="s">
        <v>14</v>
      </c>
      <c r="E595" s="3" t="s">
        <v>2874</v>
      </c>
      <c r="F595" s="3" t="s">
        <v>2875</v>
      </c>
      <c r="G595" s="3"/>
      <c r="H595" s="3" t="s">
        <v>2876</v>
      </c>
      <c r="I595" s="4"/>
      <c r="J595" s="4"/>
      <c r="K595" s="4"/>
      <c r="L595" s="4"/>
    </row>
    <row r="596" spans="1:12" x14ac:dyDescent="0.25">
      <c r="A596" s="2" t="str">
        <f>HYPERLINK("https://www.list-org.com/company/13775313","https://www.list-org.com/company/13775313")</f>
        <v>https://www.list-org.com/company/13775313</v>
      </c>
      <c r="B596" s="3" t="s">
        <v>2877</v>
      </c>
      <c r="C596" s="3" t="s">
        <v>2878</v>
      </c>
      <c r="D596" s="3" t="s">
        <v>14</v>
      </c>
      <c r="E596" s="3" t="s">
        <v>2879</v>
      </c>
      <c r="F596" s="3" t="s">
        <v>2880</v>
      </c>
      <c r="G596" s="3"/>
      <c r="H596" s="3" t="s">
        <v>2020</v>
      </c>
      <c r="I596" s="4">
        <v>1</v>
      </c>
      <c r="J596" s="4"/>
      <c r="K596" s="4"/>
      <c r="L596" s="4"/>
    </row>
    <row r="597" spans="1:12" x14ac:dyDescent="0.25">
      <c r="A597" s="2" t="str">
        <f>HYPERLINK("https://www.list-org.com/company/13775324","https://www.list-org.com/company/13775324")</f>
        <v>https://www.list-org.com/company/13775324</v>
      </c>
      <c r="B597" s="3" t="s">
        <v>2881</v>
      </c>
      <c r="C597" s="3" t="s">
        <v>2882</v>
      </c>
      <c r="D597" s="3" t="s">
        <v>14</v>
      </c>
      <c r="E597" s="3" t="s">
        <v>2883</v>
      </c>
      <c r="F597" s="3" t="s">
        <v>2884</v>
      </c>
      <c r="G597" s="3"/>
      <c r="H597" s="3" t="s">
        <v>2885</v>
      </c>
      <c r="I597" s="4"/>
      <c r="J597" s="4"/>
      <c r="K597" s="4"/>
      <c r="L597" s="4"/>
    </row>
    <row r="598" spans="1:12" x14ac:dyDescent="0.25">
      <c r="A598" s="2" t="str">
        <f>HYPERLINK("https://www.list-org.com/company/13775335","https://www.list-org.com/company/13775335")</f>
        <v>https://www.list-org.com/company/13775335</v>
      </c>
      <c r="B598" s="3" t="s">
        <v>2886</v>
      </c>
      <c r="C598" s="3" t="s">
        <v>2887</v>
      </c>
      <c r="D598" s="3" t="s">
        <v>14</v>
      </c>
      <c r="E598" s="3" t="s">
        <v>2888</v>
      </c>
      <c r="F598" s="3" t="s">
        <v>2889</v>
      </c>
      <c r="G598" s="3"/>
      <c r="H598" s="3" t="s">
        <v>2890</v>
      </c>
      <c r="I598" s="4"/>
      <c r="J598" s="4"/>
      <c r="K598" s="4"/>
      <c r="L598" s="4"/>
    </row>
    <row r="599" spans="1:12" x14ac:dyDescent="0.25">
      <c r="A599" s="2" t="str">
        <f>HYPERLINK("https://www.list-org.com/company/13775380","https://www.list-org.com/company/13775380")</f>
        <v>https://www.list-org.com/company/13775380</v>
      </c>
      <c r="B599" s="3" t="s">
        <v>2891</v>
      </c>
      <c r="C599" s="3" t="s">
        <v>2892</v>
      </c>
      <c r="D599" s="3" t="s">
        <v>14</v>
      </c>
      <c r="E599" s="3" t="s">
        <v>2893</v>
      </c>
      <c r="F599" s="3" t="s">
        <v>2894</v>
      </c>
      <c r="G599" s="3"/>
      <c r="H599" s="3" t="s">
        <v>2895</v>
      </c>
      <c r="I599" s="4"/>
      <c r="J599" s="4"/>
      <c r="K599" s="4"/>
      <c r="L599" s="4"/>
    </row>
    <row r="600" spans="1:12" x14ac:dyDescent="0.25">
      <c r="A600" s="2" t="str">
        <f>HYPERLINK("https://www.list-org.com/company/13775739","https://www.list-org.com/company/13775739")</f>
        <v>https://www.list-org.com/company/13775739</v>
      </c>
      <c r="B600" s="3" t="s">
        <v>2896</v>
      </c>
      <c r="C600" s="3" t="s">
        <v>2897</v>
      </c>
      <c r="D600" s="3" t="s">
        <v>14</v>
      </c>
      <c r="E600" s="3" t="s">
        <v>2898</v>
      </c>
      <c r="F600" s="3" t="s">
        <v>2899</v>
      </c>
      <c r="G600" s="3"/>
      <c r="H600" s="3" t="s">
        <v>2900</v>
      </c>
      <c r="I600" s="4"/>
      <c r="J600" s="4"/>
      <c r="K600" s="4"/>
      <c r="L600" s="4"/>
    </row>
    <row r="601" spans="1:12" x14ac:dyDescent="0.25">
      <c r="A601" s="2" t="str">
        <f>HYPERLINK("https://www.list-org.com/company/13775855","https://www.list-org.com/company/13775855")</f>
        <v>https://www.list-org.com/company/13775855</v>
      </c>
      <c r="B601" s="3" t="s">
        <v>2901</v>
      </c>
      <c r="C601" s="3" t="s">
        <v>2902</v>
      </c>
      <c r="D601" s="3" t="s">
        <v>14</v>
      </c>
      <c r="E601" s="3" t="s">
        <v>2903</v>
      </c>
      <c r="F601" s="3" t="s">
        <v>2904</v>
      </c>
      <c r="G601" s="3"/>
      <c r="H601" s="3" t="s">
        <v>2905</v>
      </c>
      <c r="I601" s="4"/>
      <c r="J601" s="4"/>
      <c r="K601" s="4"/>
      <c r="L601" s="4"/>
    </row>
    <row r="602" spans="1:12" x14ac:dyDescent="0.25">
      <c r="A602" s="2" t="str">
        <f>HYPERLINK("https://www.list-org.com/company/13775928","https://www.list-org.com/company/13775928")</f>
        <v>https://www.list-org.com/company/13775928</v>
      </c>
      <c r="B602" s="3" t="s">
        <v>2906</v>
      </c>
      <c r="C602" s="3" t="s">
        <v>2907</v>
      </c>
      <c r="D602" s="3" t="s">
        <v>14</v>
      </c>
      <c r="E602" s="3" t="s">
        <v>2908</v>
      </c>
      <c r="F602" s="3" t="s">
        <v>2909</v>
      </c>
      <c r="G602" s="3"/>
      <c r="H602" s="3" t="s">
        <v>2910</v>
      </c>
      <c r="I602" s="4"/>
      <c r="J602" s="4"/>
      <c r="K602" s="4"/>
      <c r="L602" s="4"/>
    </row>
    <row r="603" spans="1:12" x14ac:dyDescent="0.25">
      <c r="A603" s="2" t="str">
        <f>HYPERLINK("https://www.list-org.com/company/13775929","https://www.list-org.com/company/13775929")</f>
        <v>https://www.list-org.com/company/13775929</v>
      </c>
      <c r="B603" s="3" t="s">
        <v>2911</v>
      </c>
      <c r="C603" s="3" t="s">
        <v>2912</v>
      </c>
      <c r="D603" s="3" t="s">
        <v>14</v>
      </c>
      <c r="E603" s="3" t="s">
        <v>2913</v>
      </c>
      <c r="F603" s="3" t="s">
        <v>2914</v>
      </c>
      <c r="G603" s="3"/>
      <c r="H603" s="3" t="s">
        <v>2915</v>
      </c>
      <c r="I603" s="4"/>
      <c r="J603" s="4"/>
      <c r="K603" s="4"/>
      <c r="L603" s="4"/>
    </row>
    <row r="604" spans="1:12" x14ac:dyDescent="0.25">
      <c r="A604" s="2" t="str">
        <f>HYPERLINK("https://www.list-org.com/company/13775934","https://www.list-org.com/company/13775934")</f>
        <v>https://www.list-org.com/company/13775934</v>
      </c>
      <c r="B604" s="3" t="s">
        <v>2916</v>
      </c>
      <c r="C604" s="3" t="s">
        <v>2917</v>
      </c>
      <c r="D604" s="3" t="s">
        <v>14</v>
      </c>
      <c r="E604" s="3" t="s">
        <v>2918</v>
      </c>
      <c r="F604" s="3" t="s">
        <v>2919</v>
      </c>
      <c r="G604" s="3"/>
      <c r="H604" s="3" t="s">
        <v>2920</v>
      </c>
      <c r="I604" s="4"/>
      <c r="J604" s="4"/>
      <c r="K604" s="4"/>
      <c r="L604" s="4"/>
    </row>
    <row r="605" spans="1:12" x14ac:dyDescent="0.25">
      <c r="A605" s="2" t="str">
        <f>HYPERLINK("https://www.list-org.com/company/13775937","https://www.list-org.com/company/13775937")</f>
        <v>https://www.list-org.com/company/13775937</v>
      </c>
      <c r="B605" s="3" t="s">
        <v>2921</v>
      </c>
      <c r="C605" s="3" t="s">
        <v>2922</v>
      </c>
      <c r="D605" s="3" t="s">
        <v>14</v>
      </c>
      <c r="E605" s="3" t="s">
        <v>2923</v>
      </c>
      <c r="F605" s="3" t="s">
        <v>2924</v>
      </c>
      <c r="G605" s="3"/>
      <c r="H605" s="3" t="s">
        <v>2925</v>
      </c>
      <c r="I605" s="4"/>
      <c r="J605" s="4"/>
      <c r="K605" s="4"/>
      <c r="L605" s="4"/>
    </row>
    <row r="606" spans="1:12" x14ac:dyDescent="0.25">
      <c r="A606" s="2" t="str">
        <f>HYPERLINK("https://www.list-org.com/company/13775939","https://www.list-org.com/company/13775939")</f>
        <v>https://www.list-org.com/company/13775939</v>
      </c>
      <c r="B606" s="3" t="s">
        <v>2926</v>
      </c>
      <c r="C606" s="3" t="s">
        <v>2927</v>
      </c>
      <c r="D606" s="3" t="s">
        <v>14</v>
      </c>
      <c r="E606" s="3" t="s">
        <v>2928</v>
      </c>
      <c r="F606" s="3" t="s">
        <v>2929</v>
      </c>
      <c r="G606" s="3"/>
      <c r="H606" s="3" t="s">
        <v>2930</v>
      </c>
      <c r="I606" s="4"/>
      <c r="J606" s="4"/>
      <c r="K606" s="4"/>
      <c r="L606" s="4"/>
    </row>
    <row r="607" spans="1:12" x14ac:dyDescent="0.25">
      <c r="A607" s="2" t="str">
        <f>HYPERLINK("https://www.list-org.com/company/13776019","https://www.list-org.com/company/13776019")</f>
        <v>https://www.list-org.com/company/13776019</v>
      </c>
      <c r="B607" s="3" t="s">
        <v>2931</v>
      </c>
      <c r="C607" s="3" t="s">
        <v>2932</v>
      </c>
      <c r="D607" s="3" t="s">
        <v>14</v>
      </c>
      <c r="E607" s="3" t="s">
        <v>2933</v>
      </c>
      <c r="F607" s="3" t="s">
        <v>2934</v>
      </c>
      <c r="G607" s="3"/>
      <c r="H607" s="3" t="s">
        <v>2935</v>
      </c>
      <c r="I607" s="4"/>
      <c r="J607" s="4"/>
      <c r="K607" s="4"/>
      <c r="L607" s="4"/>
    </row>
    <row r="608" spans="1:12" x14ac:dyDescent="0.25">
      <c r="A608" s="2" t="str">
        <f>HYPERLINK("https://www.list-org.com/company/13776349","https://www.list-org.com/company/13776349")</f>
        <v>https://www.list-org.com/company/13776349</v>
      </c>
      <c r="B608" s="3" t="s">
        <v>2936</v>
      </c>
      <c r="C608" s="3" t="s">
        <v>2937</v>
      </c>
      <c r="D608" s="3" t="s">
        <v>14</v>
      </c>
      <c r="E608" s="3" t="s">
        <v>2938</v>
      </c>
      <c r="F608" s="3" t="s">
        <v>2939</v>
      </c>
      <c r="G608" s="3"/>
      <c r="H608" s="3" t="s">
        <v>2940</v>
      </c>
      <c r="I608" s="4"/>
      <c r="J608" s="4"/>
      <c r="K608" s="4"/>
      <c r="L608" s="4"/>
    </row>
    <row r="609" spans="1:12" x14ac:dyDescent="0.25">
      <c r="A609" s="2" t="str">
        <f>HYPERLINK("https://www.list-org.com/company/13776350","https://www.list-org.com/company/13776350")</f>
        <v>https://www.list-org.com/company/13776350</v>
      </c>
      <c r="B609" s="3" t="s">
        <v>2941</v>
      </c>
      <c r="C609" s="3" t="s">
        <v>2942</v>
      </c>
      <c r="D609" s="3" t="s">
        <v>14</v>
      </c>
      <c r="E609" s="3" t="s">
        <v>2943</v>
      </c>
      <c r="F609" s="3" t="s">
        <v>2944</v>
      </c>
      <c r="G609" s="3"/>
      <c r="H609" s="3" t="s">
        <v>2945</v>
      </c>
      <c r="I609" s="4"/>
      <c r="J609" s="4"/>
      <c r="K609" s="4"/>
      <c r="L609" s="4"/>
    </row>
    <row r="610" spans="1:12" x14ac:dyDescent="0.25">
      <c r="A610" s="2" t="str">
        <f>HYPERLINK("https://www.list-org.com/company/13776351","https://www.list-org.com/company/13776351")</f>
        <v>https://www.list-org.com/company/13776351</v>
      </c>
      <c r="B610" s="3" t="s">
        <v>2946</v>
      </c>
      <c r="C610" s="3" t="s">
        <v>2947</v>
      </c>
      <c r="D610" s="3" t="s">
        <v>14</v>
      </c>
      <c r="E610" s="3" t="s">
        <v>2948</v>
      </c>
      <c r="F610" s="3" t="s">
        <v>2949</v>
      </c>
      <c r="G610" s="3"/>
      <c r="H610" s="3" t="s">
        <v>2950</v>
      </c>
      <c r="I610" s="4"/>
      <c r="J610" s="4"/>
      <c r="K610" s="4"/>
      <c r="L610" s="4"/>
    </row>
    <row r="611" spans="1:12" x14ac:dyDescent="0.25">
      <c r="A611" s="2" t="str">
        <f>HYPERLINK("https://www.list-org.com/company/13776352","https://www.list-org.com/company/13776352")</f>
        <v>https://www.list-org.com/company/13776352</v>
      </c>
      <c r="B611" s="3" t="s">
        <v>2951</v>
      </c>
      <c r="C611" s="3" t="s">
        <v>2952</v>
      </c>
      <c r="D611" s="3" t="s">
        <v>14</v>
      </c>
      <c r="E611" s="3" t="s">
        <v>2953</v>
      </c>
      <c r="F611" s="3" t="s">
        <v>2954</v>
      </c>
      <c r="G611" s="3"/>
      <c r="H611" s="3" t="s">
        <v>2955</v>
      </c>
      <c r="I611" s="4"/>
      <c r="J611" s="4"/>
      <c r="K611" s="4"/>
      <c r="L611" s="4"/>
    </row>
    <row r="612" spans="1:12" x14ac:dyDescent="0.25">
      <c r="A612" s="2" t="str">
        <f>HYPERLINK("https://www.list-org.com/company/13776353","https://www.list-org.com/company/13776353")</f>
        <v>https://www.list-org.com/company/13776353</v>
      </c>
      <c r="B612" s="3" t="s">
        <v>2956</v>
      </c>
      <c r="C612" s="3" t="s">
        <v>2957</v>
      </c>
      <c r="D612" s="3" t="s">
        <v>14</v>
      </c>
      <c r="E612" s="3" t="s">
        <v>2958</v>
      </c>
      <c r="F612" s="3" t="s">
        <v>2959</v>
      </c>
      <c r="G612" s="3"/>
      <c r="H612" s="3" t="s">
        <v>2960</v>
      </c>
      <c r="I612" s="4"/>
      <c r="J612" s="4"/>
      <c r="K612" s="4"/>
      <c r="L612" s="4"/>
    </row>
    <row r="613" spans="1:12" x14ac:dyDescent="0.25">
      <c r="A613" s="2" t="str">
        <f>HYPERLINK("https://www.list-org.com/company/13776356","https://www.list-org.com/company/13776356")</f>
        <v>https://www.list-org.com/company/13776356</v>
      </c>
      <c r="B613" s="3" t="s">
        <v>2961</v>
      </c>
      <c r="C613" s="3" t="s">
        <v>2962</v>
      </c>
      <c r="D613" s="3" t="s">
        <v>14</v>
      </c>
      <c r="E613" s="3" t="s">
        <v>2963</v>
      </c>
      <c r="F613" s="3" t="s">
        <v>2964</v>
      </c>
      <c r="G613" s="3"/>
      <c r="H613" s="3" t="s">
        <v>1619</v>
      </c>
      <c r="I613" s="4"/>
      <c r="J613" s="4"/>
      <c r="K613" s="4"/>
      <c r="L613" s="4"/>
    </row>
    <row r="614" spans="1:12" x14ac:dyDescent="0.25">
      <c r="A614" s="2" t="str">
        <f>HYPERLINK("https://www.list-org.com/company/13776357","https://www.list-org.com/company/13776357")</f>
        <v>https://www.list-org.com/company/13776357</v>
      </c>
      <c r="B614" s="3" t="s">
        <v>2965</v>
      </c>
      <c r="C614" s="3" t="s">
        <v>2966</v>
      </c>
      <c r="D614" s="3" t="s">
        <v>14</v>
      </c>
      <c r="E614" s="3" t="s">
        <v>2967</v>
      </c>
      <c r="F614" s="3" t="s">
        <v>2968</v>
      </c>
      <c r="G614" s="3"/>
      <c r="H614" s="3" t="s">
        <v>2969</v>
      </c>
      <c r="I614" s="4"/>
      <c r="J614" s="4"/>
      <c r="K614" s="4"/>
      <c r="L614" s="4"/>
    </row>
    <row r="615" spans="1:12" x14ac:dyDescent="0.25">
      <c r="A615" s="2" t="str">
        <f>HYPERLINK("https://www.list-org.com/company/13776360","https://www.list-org.com/company/13776360")</f>
        <v>https://www.list-org.com/company/13776360</v>
      </c>
      <c r="B615" s="3" t="s">
        <v>2970</v>
      </c>
      <c r="C615" s="3" t="s">
        <v>2971</v>
      </c>
      <c r="D615" s="3" t="s">
        <v>14</v>
      </c>
      <c r="E615" s="3" t="s">
        <v>2972</v>
      </c>
      <c r="F615" s="3" t="s">
        <v>2973</v>
      </c>
      <c r="G615" s="3"/>
      <c r="H615" s="3" t="s">
        <v>2974</v>
      </c>
      <c r="I615" s="4"/>
      <c r="J615" s="4"/>
      <c r="K615" s="4"/>
      <c r="L615" s="4"/>
    </row>
    <row r="616" spans="1:12" x14ac:dyDescent="0.25">
      <c r="A616" s="2" t="str">
        <f>HYPERLINK("https://www.list-org.com/company/13776362","https://www.list-org.com/company/13776362")</f>
        <v>https://www.list-org.com/company/13776362</v>
      </c>
      <c r="B616" s="3" t="s">
        <v>2975</v>
      </c>
      <c r="C616" s="3" t="s">
        <v>2976</v>
      </c>
      <c r="D616" s="3" t="s">
        <v>14</v>
      </c>
      <c r="E616" s="3" t="s">
        <v>2977</v>
      </c>
      <c r="F616" s="3" t="s">
        <v>2978</v>
      </c>
      <c r="G616" s="3"/>
      <c r="H616" s="3" t="s">
        <v>2979</v>
      </c>
      <c r="I616" s="4"/>
      <c r="J616" s="4"/>
      <c r="K616" s="4"/>
      <c r="L616" s="4"/>
    </row>
    <row r="617" spans="1:12" x14ac:dyDescent="0.25">
      <c r="A617" s="2" t="str">
        <f>HYPERLINK("https://www.list-org.com/company/13776472","https://www.list-org.com/company/13776472")</f>
        <v>https://www.list-org.com/company/13776472</v>
      </c>
      <c r="B617" s="3" t="s">
        <v>2980</v>
      </c>
      <c r="C617" s="3" t="s">
        <v>2981</v>
      </c>
      <c r="D617" s="3" t="s">
        <v>14</v>
      </c>
      <c r="E617" s="3" t="s">
        <v>2982</v>
      </c>
      <c r="F617" s="3" t="s">
        <v>2983</v>
      </c>
      <c r="G617" s="3"/>
      <c r="H617" s="3" t="s">
        <v>1887</v>
      </c>
      <c r="I617" s="4"/>
      <c r="J617" s="4"/>
      <c r="K617" s="4"/>
      <c r="L617" s="4"/>
    </row>
    <row r="618" spans="1:12" x14ac:dyDescent="0.25">
      <c r="A618" s="2" t="str">
        <f>HYPERLINK("https://www.list-org.com/company/13776490","https://www.list-org.com/company/13776490")</f>
        <v>https://www.list-org.com/company/13776490</v>
      </c>
      <c r="B618" s="3" t="s">
        <v>2984</v>
      </c>
      <c r="C618" s="3" t="s">
        <v>2985</v>
      </c>
      <c r="D618" s="3" t="s">
        <v>14</v>
      </c>
      <c r="E618" s="3" t="s">
        <v>2986</v>
      </c>
      <c r="F618" s="3" t="s">
        <v>2987</v>
      </c>
      <c r="G618" s="3"/>
      <c r="H618" s="3" t="s">
        <v>2988</v>
      </c>
      <c r="I618" s="4"/>
      <c r="J618" s="4"/>
      <c r="K618" s="4"/>
      <c r="L618" s="4"/>
    </row>
    <row r="619" spans="1:12" x14ac:dyDescent="0.25">
      <c r="A619" s="2" t="str">
        <f>HYPERLINK("https://www.list-org.com/company/13776493","https://www.list-org.com/company/13776493")</f>
        <v>https://www.list-org.com/company/13776493</v>
      </c>
      <c r="B619" s="3" t="s">
        <v>2989</v>
      </c>
      <c r="C619" s="3" t="s">
        <v>2990</v>
      </c>
      <c r="D619" s="3" t="s">
        <v>14</v>
      </c>
      <c r="E619" s="3" t="s">
        <v>2991</v>
      </c>
      <c r="F619" s="3" t="s">
        <v>2992</v>
      </c>
      <c r="G619" s="3"/>
      <c r="H619" s="3" t="s">
        <v>2993</v>
      </c>
      <c r="I619" s="4"/>
      <c r="J619" s="4"/>
      <c r="K619" s="4"/>
      <c r="L619" s="4"/>
    </row>
    <row r="620" spans="1:12" x14ac:dyDescent="0.25">
      <c r="A620" s="2" t="str">
        <f>HYPERLINK("https://www.list-org.com/company/13776498","https://www.list-org.com/company/13776498")</f>
        <v>https://www.list-org.com/company/13776498</v>
      </c>
      <c r="B620" s="3" t="s">
        <v>2994</v>
      </c>
      <c r="C620" s="3" t="s">
        <v>2995</v>
      </c>
      <c r="D620" s="3" t="s">
        <v>14</v>
      </c>
      <c r="E620" s="3" t="s">
        <v>2996</v>
      </c>
      <c r="F620" s="3" t="s">
        <v>2997</v>
      </c>
      <c r="G620" s="3"/>
      <c r="H620" s="3" t="s">
        <v>2998</v>
      </c>
      <c r="I620" s="4"/>
      <c r="J620" s="4"/>
      <c r="K620" s="4"/>
      <c r="L620" s="4"/>
    </row>
    <row r="621" spans="1:12" x14ac:dyDescent="0.25">
      <c r="A621" s="2" t="str">
        <f>HYPERLINK("https://www.list-org.com/company/13776810","https://www.list-org.com/company/13776810")</f>
        <v>https://www.list-org.com/company/13776810</v>
      </c>
      <c r="B621" s="3" t="s">
        <v>2999</v>
      </c>
      <c r="C621" s="3" t="s">
        <v>3000</v>
      </c>
      <c r="D621" s="3" t="s">
        <v>14</v>
      </c>
      <c r="E621" s="3" t="s">
        <v>3001</v>
      </c>
      <c r="F621" s="3" t="s">
        <v>3002</v>
      </c>
      <c r="G621" s="3"/>
      <c r="H621" s="3" t="s">
        <v>3003</v>
      </c>
      <c r="I621" s="4"/>
      <c r="J621" s="4"/>
      <c r="K621" s="4"/>
      <c r="L621" s="4"/>
    </row>
    <row r="622" spans="1:12" x14ac:dyDescent="0.25">
      <c r="A622" s="2" t="str">
        <f>HYPERLINK("https://www.list-org.com/company/13776897","https://www.list-org.com/company/13776897")</f>
        <v>https://www.list-org.com/company/13776897</v>
      </c>
      <c r="B622" s="3" t="s">
        <v>3004</v>
      </c>
      <c r="C622" s="3" t="s">
        <v>3005</v>
      </c>
      <c r="D622" s="3" t="s">
        <v>14</v>
      </c>
      <c r="E622" s="3" t="s">
        <v>3006</v>
      </c>
      <c r="F622" s="3" t="s">
        <v>3007</v>
      </c>
      <c r="G622" s="3"/>
      <c r="H622" s="3" t="s">
        <v>3008</v>
      </c>
      <c r="I622" s="4"/>
      <c r="J622" s="4"/>
      <c r="K622" s="4"/>
      <c r="L622" s="4"/>
    </row>
    <row r="623" spans="1:12" x14ac:dyDescent="0.25">
      <c r="A623" s="2" t="str">
        <f>HYPERLINK("https://www.list-org.com/company/13776985","https://www.list-org.com/company/13776985")</f>
        <v>https://www.list-org.com/company/13776985</v>
      </c>
      <c r="B623" s="3" t="s">
        <v>3009</v>
      </c>
      <c r="C623" s="3" t="s">
        <v>3010</v>
      </c>
      <c r="D623" s="3" t="s">
        <v>14</v>
      </c>
      <c r="E623" s="3" t="s">
        <v>3011</v>
      </c>
      <c r="F623" s="3" t="s">
        <v>3012</v>
      </c>
      <c r="G623" s="3"/>
      <c r="H623" s="3" t="s">
        <v>1020</v>
      </c>
      <c r="I623" s="4"/>
      <c r="J623" s="4"/>
      <c r="K623" s="4"/>
      <c r="L623" s="4"/>
    </row>
    <row r="624" spans="1:12" x14ac:dyDescent="0.25">
      <c r="A624" s="2" t="str">
        <f>HYPERLINK("https://www.list-org.com/company/13776986","https://www.list-org.com/company/13776986")</f>
        <v>https://www.list-org.com/company/13776986</v>
      </c>
      <c r="B624" s="3" t="s">
        <v>3013</v>
      </c>
      <c r="C624" s="3" t="s">
        <v>3014</v>
      </c>
      <c r="D624" s="3" t="s">
        <v>14</v>
      </c>
      <c r="E624" s="3" t="s">
        <v>3015</v>
      </c>
      <c r="F624" s="3" t="s">
        <v>3016</v>
      </c>
      <c r="G624" s="3"/>
      <c r="H624" s="3" t="s">
        <v>3017</v>
      </c>
      <c r="I624" s="4"/>
      <c r="J624" s="4"/>
      <c r="K624" s="4"/>
      <c r="L624" s="4"/>
    </row>
    <row r="625" spans="1:12" x14ac:dyDescent="0.25">
      <c r="A625" s="2" t="str">
        <f>HYPERLINK("https://www.list-org.com/company/13776994","https://www.list-org.com/company/13776994")</f>
        <v>https://www.list-org.com/company/13776994</v>
      </c>
      <c r="B625" s="3" t="s">
        <v>3018</v>
      </c>
      <c r="C625" s="3" t="s">
        <v>3019</v>
      </c>
      <c r="D625" s="3" t="s">
        <v>14</v>
      </c>
      <c r="E625" s="3" t="s">
        <v>3020</v>
      </c>
      <c r="F625" s="3" t="s">
        <v>3021</v>
      </c>
      <c r="G625" s="3"/>
      <c r="H625" s="3" t="s">
        <v>3022</v>
      </c>
      <c r="I625" s="4"/>
      <c r="J625" s="4"/>
      <c r="K625" s="4"/>
      <c r="L625" s="4"/>
    </row>
    <row r="626" spans="1:12" x14ac:dyDescent="0.25">
      <c r="A626" s="2" t="str">
        <f>HYPERLINK("https://www.list-org.com/company/13776997","https://www.list-org.com/company/13776997")</f>
        <v>https://www.list-org.com/company/13776997</v>
      </c>
      <c r="B626" s="3" t="s">
        <v>3023</v>
      </c>
      <c r="C626" s="3" t="s">
        <v>3024</v>
      </c>
      <c r="D626" s="3" t="s">
        <v>14</v>
      </c>
      <c r="E626" s="3" t="s">
        <v>3025</v>
      </c>
      <c r="F626" s="3" t="s">
        <v>3026</v>
      </c>
      <c r="G626" s="3"/>
      <c r="H626" s="3" t="s">
        <v>191</v>
      </c>
      <c r="I626" s="4"/>
      <c r="J626" s="4"/>
      <c r="K626" s="4"/>
      <c r="L626" s="4"/>
    </row>
    <row r="627" spans="1:12" x14ac:dyDescent="0.25">
      <c r="A627" s="2" t="str">
        <f>HYPERLINK("https://www.list-org.com/company/13777077","https://www.list-org.com/company/13777077")</f>
        <v>https://www.list-org.com/company/13777077</v>
      </c>
      <c r="B627" s="3" t="s">
        <v>3027</v>
      </c>
      <c r="C627" s="3" t="s">
        <v>3028</v>
      </c>
      <c r="D627" s="3" t="s">
        <v>14</v>
      </c>
      <c r="E627" s="3" t="s">
        <v>3029</v>
      </c>
      <c r="F627" s="3" t="s">
        <v>3030</v>
      </c>
      <c r="G627" s="3"/>
      <c r="H627" s="3" t="s">
        <v>3031</v>
      </c>
      <c r="I627" s="4"/>
      <c r="J627" s="4"/>
      <c r="K627" s="4"/>
      <c r="L627" s="4"/>
    </row>
    <row r="628" spans="1:12" x14ac:dyDescent="0.25">
      <c r="A628" s="2" t="str">
        <f>HYPERLINK("https://www.list-org.com/company/13777482","https://www.list-org.com/company/13777482")</f>
        <v>https://www.list-org.com/company/13777482</v>
      </c>
      <c r="B628" s="3" t="s">
        <v>3032</v>
      </c>
      <c r="C628" s="3" t="s">
        <v>3033</v>
      </c>
      <c r="D628" s="3" t="s">
        <v>14</v>
      </c>
      <c r="E628" s="3" t="s">
        <v>3034</v>
      </c>
      <c r="F628" s="3" t="s">
        <v>3035</v>
      </c>
      <c r="G628" s="3"/>
      <c r="H628" s="3" t="s">
        <v>3036</v>
      </c>
      <c r="I628" s="4"/>
      <c r="J628" s="4"/>
      <c r="K628" s="4"/>
      <c r="L628" s="4"/>
    </row>
    <row r="629" spans="1:12" x14ac:dyDescent="0.25">
      <c r="A629" s="2" t="str">
        <f>HYPERLINK("https://www.list-org.com/company/13777490","https://www.list-org.com/company/13777490")</f>
        <v>https://www.list-org.com/company/13777490</v>
      </c>
      <c r="B629" s="3" t="s">
        <v>3037</v>
      </c>
      <c r="C629" s="3" t="s">
        <v>3038</v>
      </c>
      <c r="D629" s="3" t="s">
        <v>14</v>
      </c>
      <c r="E629" s="3" t="s">
        <v>3039</v>
      </c>
      <c r="F629" s="3" t="s">
        <v>3040</v>
      </c>
      <c r="G629" s="3"/>
      <c r="H629" s="3" t="s">
        <v>3041</v>
      </c>
      <c r="I629" s="4"/>
      <c r="J629" s="4"/>
      <c r="K629" s="4"/>
      <c r="L629" s="4"/>
    </row>
    <row r="630" spans="1:12" x14ac:dyDescent="0.25">
      <c r="A630" s="2" t="str">
        <f>HYPERLINK("https://www.list-org.com/company/13777502","https://www.list-org.com/company/13777502")</f>
        <v>https://www.list-org.com/company/13777502</v>
      </c>
      <c r="B630" s="3" t="s">
        <v>3042</v>
      </c>
      <c r="C630" s="3" t="s">
        <v>3043</v>
      </c>
      <c r="D630" s="3" t="s">
        <v>14</v>
      </c>
      <c r="E630" s="3" t="s">
        <v>3044</v>
      </c>
      <c r="F630" s="3" t="s">
        <v>3045</v>
      </c>
      <c r="G630" s="3"/>
      <c r="H630" s="3" t="s">
        <v>3046</v>
      </c>
      <c r="I630" s="4"/>
      <c r="J630" s="4"/>
      <c r="K630" s="4"/>
      <c r="L630" s="4"/>
    </row>
    <row r="631" spans="1:12" x14ac:dyDescent="0.25">
      <c r="A631" s="2" t="str">
        <f>HYPERLINK("https://www.list-org.com/company/13777512","https://www.list-org.com/company/13777512")</f>
        <v>https://www.list-org.com/company/13777512</v>
      </c>
      <c r="B631" s="3" t="s">
        <v>3047</v>
      </c>
      <c r="C631" s="3" t="s">
        <v>3048</v>
      </c>
      <c r="D631" s="3" t="s">
        <v>14</v>
      </c>
      <c r="E631" s="3" t="s">
        <v>3049</v>
      </c>
      <c r="F631" s="3" t="s">
        <v>3050</v>
      </c>
      <c r="G631" s="3"/>
      <c r="H631" s="3" t="s">
        <v>3051</v>
      </c>
      <c r="I631" s="4"/>
      <c r="J631" s="4"/>
      <c r="K631" s="4"/>
      <c r="L631" s="4"/>
    </row>
    <row r="632" spans="1:12" x14ac:dyDescent="0.25">
      <c r="A632" s="2" t="str">
        <f>HYPERLINK("https://www.list-org.com/company/13777547","https://www.list-org.com/company/13777547")</f>
        <v>https://www.list-org.com/company/13777547</v>
      </c>
      <c r="B632" s="3" t="s">
        <v>3052</v>
      </c>
      <c r="C632" s="3" t="s">
        <v>3053</v>
      </c>
      <c r="D632" s="3" t="s">
        <v>14</v>
      </c>
      <c r="E632" s="3" t="s">
        <v>3054</v>
      </c>
      <c r="F632" s="3" t="s">
        <v>3055</v>
      </c>
      <c r="G632" s="3"/>
      <c r="H632" s="3" t="s">
        <v>3041</v>
      </c>
      <c r="I632" s="4"/>
      <c r="J632" s="4"/>
      <c r="K632" s="4"/>
      <c r="L632" s="4"/>
    </row>
    <row r="633" spans="1:12" x14ac:dyDescent="0.25">
      <c r="A633" s="2" t="str">
        <f>HYPERLINK("https://www.list-org.com/company/13778335","https://www.list-org.com/company/13778335")</f>
        <v>https://www.list-org.com/company/13778335</v>
      </c>
      <c r="B633" s="3" t="s">
        <v>3056</v>
      </c>
      <c r="C633" s="3" t="s">
        <v>3057</v>
      </c>
      <c r="D633" s="3" t="s">
        <v>14</v>
      </c>
      <c r="E633" s="3" t="s">
        <v>3058</v>
      </c>
      <c r="F633" s="3" t="s">
        <v>3059</v>
      </c>
      <c r="G633" s="3"/>
      <c r="H633" s="3" t="s">
        <v>1985</v>
      </c>
      <c r="I633" s="4"/>
      <c r="J633" s="4"/>
      <c r="K633" s="4"/>
      <c r="L633" s="4"/>
    </row>
    <row r="634" spans="1:12" x14ac:dyDescent="0.25">
      <c r="A634" s="2" t="str">
        <f>HYPERLINK("https://www.list-org.com/company/13778583","https://www.list-org.com/company/13778583")</f>
        <v>https://www.list-org.com/company/13778583</v>
      </c>
      <c r="B634" s="3" t="s">
        <v>3060</v>
      </c>
      <c r="C634" s="3" t="s">
        <v>3061</v>
      </c>
      <c r="D634" s="3" t="s">
        <v>14</v>
      </c>
      <c r="E634" s="3" t="s">
        <v>3062</v>
      </c>
      <c r="F634" s="3" t="s">
        <v>3063</v>
      </c>
      <c r="G634" s="3"/>
      <c r="H634" s="3" t="s">
        <v>3064</v>
      </c>
      <c r="I634" s="4"/>
      <c r="J634" s="4"/>
      <c r="K634" s="4"/>
      <c r="L634" s="4"/>
    </row>
    <row r="635" spans="1:12" x14ac:dyDescent="0.25">
      <c r="A635" s="2" t="str">
        <f>HYPERLINK("https://www.list-org.com/company/13842600","https://www.list-org.com/company/13842600")</f>
        <v>https://www.list-org.com/company/13842600</v>
      </c>
      <c r="B635" s="3" t="s">
        <v>3065</v>
      </c>
      <c r="C635" s="3" t="s">
        <v>3066</v>
      </c>
      <c r="D635" s="3" t="s">
        <v>14</v>
      </c>
      <c r="E635" s="3" t="s">
        <v>3067</v>
      </c>
      <c r="F635" s="3" t="s">
        <v>3068</v>
      </c>
      <c r="G635" s="3"/>
      <c r="H635" s="3" t="s">
        <v>3069</v>
      </c>
      <c r="I635" s="4"/>
      <c r="J635" s="4"/>
      <c r="K635" s="4"/>
      <c r="L635" s="4"/>
    </row>
    <row r="636" spans="1:12" x14ac:dyDescent="0.25">
      <c r="A636" s="2" t="str">
        <f>HYPERLINK("https://www.list-org.com/company/13842758","https://www.list-org.com/company/13842758")</f>
        <v>https://www.list-org.com/company/13842758</v>
      </c>
      <c r="B636" s="3" t="s">
        <v>3070</v>
      </c>
      <c r="C636" s="3" t="s">
        <v>3071</v>
      </c>
      <c r="D636" s="3" t="s">
        <v>14</v>
      </c>
      <c r="E636" s="3" t="s">
        <v>3072</v>
      </c>
      <c r="F636" s="3" t="s">
        <v>3073</v>
      </c>
      <c r="G636" s="3"/>
      <c r="H636" s="3" t="s">
        <v>3074</v>
      </c>
      <c r="I636" s="4"/>
      <c r="J636" s="4"/>
      <c r="K636" s="4"/>
      <c r="L636" s="4"/>
    </row>
    <row r="637" spans="1:12" x14ac:dyDescent="0.25">
      <c r="A637" s="2" t="str">
        <f>HYPERLINK("https://www.list-org.com/company/13843483","https://www.list-org.com/company/13843483")</f>
        <v>https://www.list-org.com/company/13843483</v>
      </c>
      <c r="B637" s="3" t="s">
        <v>3075</v>
      </c>
      <c r="C637" s="3" t="s">
        <v>3076</v>
      </c>
      <c r="D637" s="3" t="s">
        <v>14</v>
      </c>
      <c r="E637" s="3" t="s">
        <v>3077</v>
      </c>
      <c r="F637" s="3" t="s">
        <v>3078</v>
      </c>
      <c r="G637" s="3"/>
      <c r="H637" s="3" t="s">
        <v>3079</v>
      </c>
      <c r="I637" s="4"/>
      <c r="J637" s="4"/>
      <c r="K637" s="4"/>
      <c r="L637" s="4"/>
    </row>
    <row r="638" spans="1:12" x14ac:dyDescent="0.25">
      <c r="A638" s="2" t="str">
        <f>HYPERLINK("https://www.list-org.com/company/13843485","https://www.list-org.com/company/13843485")</f>
        <v>https://www.list-org.com/company/13843485</v>
      </c>
      <c r="B638" s="3" t="s">
        <v>3080</v>
      </c>
      <c r="C638" s="3" t="s">
        <v>3081</v>
      </c>
      <c r="D638" s="3" t="s">
        <v>14</v>
      </c>
      <c r="E638" s="3" t="s">
        <v>3082</v>
      </c>
      <c r="F638" s="3" t="s">
        <v>3083</v>
      </c>
      <c r="G638" s="3"/>
      <c r="H638" s="3" t="s">
        <v>3008</v>
      </c>
      <c r="I638" s="4"/>
      <c r="J638" s="4"/>
      <c r="K638" s="4"/>
      <c r="L638" s="4"/>
    </row>
    <row r="639" spans="1:12" x14ac:dyDescent="0.25">
      <c r="A639" s="2" t="str">
        <f>HYPERLINK("https://www.list-org.com/company/13844892","https://www.list-org.com/company/13844892")</f>
        <v>https://www.list-org.com/company/13844892</v>
      </c>
      <c r="B639" s="3" t="s">
        <v>3084</v>
      </c>
      <c r="C639" s="3" t="s">
        <v>3085</v>
      </c>
      <c r="D639" s="3" t="s">
        <v>14</v>
      </c>
      <c r="E639" s="3" t="s">
        <v>3086</v>
      </c>
      <c r="F639" s="3" t="s">
        <v>3087</v>
      </c>
      <c r="G639" s="3"/>
      <c r="H639" s="3" t="s">
        <v>181</v>
      </c>
      <c r="I639" s="4"/>
      <c r="J639" s="4"/>
      <c r="K639" s="4"/>
      <c r="L639" s="4"/>
    </row>
    <row r="640" spans="1:12" x14ac:dyDescent="0.25">
      <c r="A640" s="2" t="str">
        <f>HYPERLINK("https://www.list-org.com/company/13845490","https://www.list-org.com/company/13845490")</f>
        <v>https://www.list-org.com/company/13845490</v>
      </c>
      <c r="B640" s="3" t="s">
        <v>3088</v>
      </c>
      <c r="C640" s="3" t="s">
        <v>3089</v>
      </c>
      <c r="D640" s="3" t="s">
        <v>14</v>
      </c>
      <c r="E640" s="3" t="s">
        <v>3090</v>
      </c>
      <c r="F640" s="3" t="s">
        <v>3091</v>
      </c>
      <c r="G640" s="3"/>
      <c r="H640" s="3" t="s">
        <v>3092</v>
      </c>
      <c r="I640" s="4"/>
      <c r="J640" s="4"/>
      <c r="K640" s="4"/>
      <c r="L640" s="4"/>
    </row>
    <row r="641" spans="1:12" x14ac:dyDescent="0.25">
      <c r="A641" s="2" t="str">
        <f>HYPERLINK("https://www.list-org.com/company/13846135","https://www.list-org.com/company/13846135")</f>
        <v>https://www.list-org.com/company/13846135</v>
      </c>
      <c r="B641" s="3" t="s">
        <v>3093</v>
      </c>
      <c r="C641" s="3" t="s">
        <v>3094</v>
      </c>
      <c r="D641" s="3" t="s">
        <v>14</v>
      </c>
      <c r="E641" s="3" t="s">
        <v>3095</v>
      </c>
      <c r="F641" s="3" t="s">
        <v>3096</v>
      </c>
      <c r="G641" s="3"/>
      <c r="H641" s="3" t="s">
        <v>3097</v>
      </c>
      <c r="I641" s="4"/>
      <c r="J641" s="4"/>
      <c r="K641" s="4"/>
      <c r="L641" s="4"/>
    </row>
    <row r="642" spans="1:12" x14ac:dyDescent="0.25">
      <c r="A642" s="2" t="str">
        <f>HYPERLINK("https://www.list-org.com/company/13847527","https://www.list-org.com/company/13847527")</f>
        <v>https://www.list-org.com/company/13847527</v>
      </c>
      <c r="B642" s="3" t="s">
        <v>3098</v>
      </c>
      <c r="C642" s="3" t="s">
        <v>3099</v>
      </c>
      <c r="D642" s="3" t="s">
        <v>14</v>
      </c>
      <c r="E642" s="3" t="s">
        <v>3100</v>
      </c>
      <c r="F642" s="3" t="s">
        <v>3101</v>
      </c>
      <c r="G642" s="3"/>
      <c r="H642" s="3" t="s">
        <v>3102</v>
      </c>
      <c r="I642" s="4"/>
      <c r="J642" s="4"/>
      <c r="K642" s="4"/>
      <c r="L642" s="4"/>
    </row>
    <row r="643" spans="1:12" x14ac:dyDescent="0.25">
      <c r="A643" s="2" t="str">
        <f>HYPERLINK("https://www.list-org.com/company/13848576","https://www.list-org.com/company/13848576")</f>
        <v>https://www.list-org.com/company/13848576</v>
      </c>
      <c r="B643" s="3" t="s">
        <v>3103</v>
      </c>
      <c r="C643" s="3" t="s">
        <v>3104</v>
      </c>
      <c r="D643" s="3" t="s">
        <v>14</v>
      </c>
      <c r="E643" s="3" t="s">
        <v>3105</v>
      </c>
      <c r="F643" s="3" t="s">
        <v>3106</v>
      </c>
      <c r="G643" s="3"/>
      <c r="H643" s="3" t="s">
        <v>3107</v>
      </c>
      <c r="I643" s="4"/>
      <c r="J643" s="4"/>
      <c r="K643" s="4"/>
      <c r="L643" s="4"/>
    </row>
    <row r="644" spans="1:12" x14ac:dyDescent="0.25">
      <c r="A644" s="2" t="str">
        <f>HYPERLINK("https://www.list-org.com/company/13850980","https://www.list-org.com/company/13850980")</f>
        <v>https://www.list-org.com/company/13850980</v>
      </c>
      <c r="B644" s="3" t="s">
        <v>3108</v>
      </c>
      <c r="C644" s="3" t="s">
        <v>3109</v>
      </c>
      <c r="D644" s="3" t="s">
        <v>14</v>
      </c>
      <c r="E644" s="3" t="s">
        <v>3110</v>
      </c>
      <c r="F644" s="3" t="s">
        <v>3111</v>
      </c>
      <c r="G644" s="3"/>
      <c r="H644" s="3" t="s">
        <v>3112</v>
      </c>
      <c r="I644" s="4"/>
      <c r="J644" s="4"/>
      <c r="K644" s="4"/>
      <c r="L644" s="4"/>
    </row>
    <row r="645" spans="1:12" x14ac:dyDescent="0.25">
      <c r="A645" s="2" t="str">
        <f>HYPERLINK("https://www.list-org.com/company/13852168","https://www.list-org.com/company/13852168")</f>
        <v>https://www.list-org.com/company/13852168</v>
      </c>
      <c r="B645" s="3" t="s">
        <v>3113</v>
      </c>
      <c r="C645" s="3" t="s">
        <v>3114</v>
      </c>
      <c r="D645" s="3" t="s">
        <v>14</v>
      </c>
      <c r="E645" s="3" t="s">
        <v>3115</v>
      </c>
      <c r="F645" s="3" t="s">
        <v>3116</v>
      </c>
      <c r="G645" s="3"/>
      <c r="H645" s="3" t="s">
        <v>3117</v>
      </c>
      <c r="I645" s="4"/>
      <c r="J645" s="4"/>
      <c r="K645" s="4"/>
      <c r="L645" s="4"/>
    </row>
    <row r="646" spans="1:12" x14ac:dyDescent="0.25">
      <c r="A646" s="2" t="str">
        <f>HYPERLINK("https://www.list-org.com/company/13852175","https://www.list-org.com/company/13852175")</f>
        <v>https://www.list-org.com/company/13852175</v>
      </c>
      <c r="B646" s="3" t="s">
        <v>3118</v>
      </c>
      <c r="C646" s="3" t="s">
        <v>3119</v>
      </c>
      <c r="D646" s="3" t="s">
        <v>14</v>
      </c>
      <c r="E646" s="3" t="s">
        <v>3120</v>
      </c>
      <c r="F646" s="3" t="s">
        <v>3121</v>
      </c>
      <c r="G646" s="3"/>
      <c r="H646" s="3" t="s">
        <v>3122</v>
      </c>
      <c r="I646" s="4"/>
      <c r="J646" s="4"/>
      <c r="K646" s="4"/>
      <c r="L646" s="4"/>
    </row>
    <row r="647" spans="1:12" x14ac:dyDescent="0.25">
      <c r="A647" s="2" t="str">
        <f>HYPERLINK("https://www.list-org.com/company/13902489","https://www.list-org.com/company/13902489")</f>
        <v>https://www.list-org.com/company/13902489</v>
      </c>
      <c r="B647" s="3" t="s">
        <v>3123</v>
      </c>
      <c r="C647" s="3" t="s">
        <v>3124</v>
      </c>
      <c r="D647" s="3" t="s">
        <v>14</v>
      </c>
      <c r="E647" s="3" t="s">
        <v>3125</v>
      </c>
      <c r="F647" s="3" t="s">
        <v>3126</v>
      </c>
      <c r="G647" s="3"/>
      <c r="H647" s="3" t="s">
        <v>3127</v>
      </c>
      <c r="I647" s="4"/>
      <c r="J647" s="4"/>
      <c r="K647" s="4"/>
      <c r="L647" s="4"/>
    </row>
    <row r="648" spans="1:12" x14ac:dyDescent="0.25">
      <c r="A648" s="2" t="str">
        <f>HYPERLINK("https://www.list-org.com/company/13902873","https://www.list-org.com/company/13902873")</f>
        <v>https://www.list-org.com/company/13902873</v>
      </c>
      <c r="B648" s="3" t="s">
        <v>3128</v>
      </c>
      <c r="C648" s="3" t="s">
        <v>3129</v>
      </c>
      <c r="D648" s="3" t="s">
        <v>14</v>
      </c>
      <c r="E648" s="3" t="s">
        <v>3130</v>
      </c>
      <c r="F648" s="3" t="s">
        <v>3131</v>
      </c>
      <c r="G648" s="3"/>
      <c r="H648" s="3" t="s">
        <v>1687</v>
      </c>
      <c r="I648" s="4"/>
      <c r="J648" s="4"/>
      <c r="K648" s="4"/>
      <c r="L648" s="4"/>
    </row>
    <row r="649" spans="1:12" x14ac:dyDescent="0.25">
      <c r="A649" s="2" t="str">
        <f>HYPERLINK("https://www.list-org.com/company/13903720","https://www.list-org.com/company/13903720")</f>
        <v>https://www.list-org.com/company/13903720</v>
      </c>
      <c r="B649" s="3" t="s">
        <v>3132</v>
      </c>
      <c r="C649" s="3" t="s">
        <v>3133</v>
      </c>
      <c r="D649" s="3" t="s">
        <v>14</v>
      </c>
      <c r="E649" s="3" t="s">
        <v>3134</v>
      </c>
      <c r="F649" s="3" t="s">
        <v>3135</v>
      </c>
      <c r="G649" s="3"/>
      <c r="H649" s="3" t="s">
        <v>3136</v>
      </c>
      <c r="I649" s="4"/>
      <c r="J649" s="4"/>
      <c r="K649" s="4"/>
      <c r="L649" s="4"/>
    </row>
    <row r="650" spans="1:12" x14ac:dyDescent="0.25">
      <c r="A650" s="2" t="str">
        <f>HYPERLINK("https://www.list-org.com/company/13905261","https://www.list-org.com/company/13905261")</f>
        <v>https://www.list-org.com/company/13905261</v>
      </c>
      <c r="B650" s="3" t="s">
        <v>3137</v>
      </c>
      <c r="C650" s="3" t="s">
        <v>3138</v>
      </c>
      <c r="D650" s="3" t="s">
        <v>14</v>
      </c>
      <c r="E650" s="3" t="s">
        <v>3139</v>
      </c>
      <c r="F650" s="3" t="s">
        <v>3140</v>
      </c>
      <c r="G650" s="3"/>
      <c r="H650" s="3" t="s">
        <v>3141</v>
      </c>
      <c r="I650" s="4"/>
      <c r="J650" s="4"/>
      <c r="K650" s="4"/>
      <c r="L650" s="4"/>
    </row>
    <row r="651" spans="1:12" x14ac:dyDescent="0.25">
      <c r="A651" s="2" t="str">
        <f>HYPERLINK("https://www.list-org.com/company/13906132","https://www.list-org.com/company/13906132")</f>
        <v>https://www.list-org.com/company/13906132</v>
      </c>
      <c r="B651" s="3" t="s">
        <v>3142</v>
      </c>
      <c r="C651" s="3" t="s">
        <v>3143</v>
      </c>
      <c r="D651" s="3" t="s">
        <v>14</v>
      </c>
      <c r="E651" s="3" t="s">
        <v>3144</v>
      </c>
      <c r="F651" s="3" t="s">
        <v>3145</v>
      </c>
      <c r="G651" s="3"/>
      <c r="H651" s="3" t="s">
        <v>3146</v>
      </c>
      <c r="I651" s="4"/>
      <c r="J651" s="4"/>
      <c r="K651" s="4"/>
      <c r="L651" s="4"/>
    </row>
    <row r="652" spans="1:12" x14ac:dyDescent="0.25">
      <c r="A652" s="2" t="str">
        <f>HYPERLINK("https://www.list-org.com/company/13907161","https://www.list-org.com/company/13907161")</f>
        <v>https://www.list-org.com/company/13907161</v>
      </c>
      <c r="B652" s="3" t="s">
        <v>3147</v>
      </c>
      <c r="C652" s="3" t="s">
        <v>3148</v>
      </c>
      <c r="D652" s="3" t="s">
        <v>14</v>
      </c>
      <c r="E652" s="3" t="s">
        <v>3149</v>
      </c>
      <c r="F652" s="3" t="s">
        <v>3150</v>
      </c>
      <c r="G652" s="3"/>
      <c r="H652" s="3" t="s">
        <v>3151</v>
      </c>
      <c r="I652" s="4"/>
      <c r="J652" s="4"/>
      <c r="K652" s="4"/>
      <c r="L652" s="4"/>
    </row>
    <row r="653" spans="1:12" x14ac:dyDescent="0.25">
      <c r="A653" s="2" t="str">
        <f>HYPERLINK("https://www.list-org.com/company/13907196","https://www.list-org.com/company/13907196")</f>
        <v>https://www.list-org.com/company/13907196</v>
      </c>
      <c r="B653" s="3" t="s">
        <v>3152</v>
      </c>
      <c r="C653" s="3" t="s">
        <v>3153</v>
      </c>
      <c r="D653" s="3" t="s">
        <v>14</v>
      </c>
      <c r="E653" s="3" t="s">
        <v>3154</v>
      </c>
      <c r="F653" s="3" t="s">
        <v>3155</v>
      </c>
      <c r="G653" s="3"/>
      <c r="H653" s="3" t="s">
        <v>3156</v>
      </c>
      <c r="I653" s="4"/>
      <c r="J653" s="4"/>
      <c r="K653" s="4"/>
      <c r="L653" s="4"/>
    </row>
    <row r="654" spans="1:12" x14ac:dyDescent="0.25">
      <c r="A654" s="2" t="str">
        <f>HYPERLINK("https://www.list-org.com/company/13907830","https://www.list-org.com/company/13907830")</f>
        <v>https://www.list-org.com/company/13907830</v>
      </c>
      <c r="B654" s="3" t="s">
        <v>3157</v>
      </c>
      <c r="C654" s="3" t="s">
        <v>3158</v>
      </c>
      <c r="D654" s="3" t="s">
        <v>14</v>
      </c>
      <c r="E654" s="3" t="s">
        <v>3159</v>
      </c>
      <c r="F654" s="3" t="s">
        <v>3160</v>
      </c>
      <c r="G654" s="3"/>
      <c r="H654" s="3" t="s">
        <v>3161</v>
      </c>
      <c r="I654" s="4"/>
      <c r="J654" s="4"/>
      <c r="K654" s="4"/>
      <c r="L654" s="4"/>
    </row>
    <row r="655" spans="1:12" x14ac:dyDescent="0.25">
      <c r="A655" s="2" t="str">
        <f>HYPERLINK("https://www.list-org.com/company/13909954","https://www.list-org.com/company/13909954")</f>
        <v>https://www.list-org.com/company/13909954</v>
      </c>
      <c r="B655" s="3" t="s">
        <v>3162</v>
      </c>
      <c r="C655" s="3" t="s">
        <v>3163</v>
      </c>
      <c r="D655" s="3" t="s">
        <v>14</v>
      </c>
      <c r="E655" s="3" t="s">
        <v>3164</v>
      </c>
      <c r="F655" s="3" t="s">
        <v>3165</v>
      </c>
      <c r="G655" s="3"/>
      <c r="H655" s="3" t="s">
        <v>2695</v>
      </c>
      <c r="I655" s="4"/>
      <c r="J655" s="4"/>
      <c r="K655" s="4"/>
      <c r="L655" s="4"/>
    </row>
    <row r="656" spans="1:12" x14ac:dyDescent="0.25">
      <c r="A656" s="2" t="str">
        <f>HYPERLINK("https://www.list-org.com/company/13910818","https://www.list-org.com/company/13910818")</f>
        <v>https://www.list-org.com/company/13910818</v>
      </c>
      <c r="B656" s="3" t="s">
        <v>3166</v>
      </c>
      <c r="C656" s="3" t="s">
        <v>3167</v>
      </c>
      <c r="D656" s="3" t="s">
        <v>14</v>
      </c>
      <c r="E656" s="3" t="s">
        <v>3168</v>
      </c>
      <c r="F656" s="3" t="s">
        <v>3169</v>
      </c>
      <c r="G656" s="3"/>
      <c r="H656" s="3" t="s">
        <v>3170</v>
      </c>
      <c r="I656" s="4"/>
      <c r="J656" s="4"/>
      <c r="K656" s="4"/>
      <c r="L656" s="4"/>
    </row>
    <row r="657" spans="1:12" x14ac:dyDescent="0.25">
      <c r="A657" s="2" t="str">
        <f>HYPERLINK("https://www.list-org.com/company/13910909","https://www.list-org.com/company/13910909")</f>
        <v>https://www.list-org.com/company/13910909</v>
      </c>
      <c r="B657" s="3" t="s">
        <v>3171</v>
      </c>
      <c r="C657" s="3" t="s">
        <v>3172</v>
      </c>
      <c r="D657" s="3" t="s">
        <v>14</v>
      </c>
      <c r="E657" s="3" t="s">
        <v>3173</v>
      </c>
      <c r="F657" s="3" t="s">
        <v>3174</v>
      </c>
      <c r="G657" s="3"/>
      <c r="H657" s="3" t="s">
        <v>3175</v>
      </c>
      <c r="I657" s="4"/>
      <c r="J657" s="4"/>
      <c r="K657" s="4"/>
      <c r="L657" s="4"/>
    </row>
    <row r="658" spans="1:12" x14ac:dyDescent="0.25">
      <c r="A658" s="2" t="str">
        <f>HYPERLINK("https://www.list-org.com/company/13911201","https://www.list-org.com/company/13911201")</f>
        <v>https://www.list-org.com/company/13911201</v>
      </c>
      <c r="B658" s="3" t="s">
        <v>3176</v>
      </c>
      <c r="C658" s="3" t="s">
        <v>3177</v>
      </c>
      <c r="D658" s="3" t="s">
        <v>14</v>
      </c>
      <c r="E658" s="3" t="s">
        <v>3178</v>
      </c>
      <c r="F658" s="3" t="s">
        <v>3179</v>
      </c>
      <c r="G658" s="3"/>
      <c r="H658" s="3" t="s">
        <v>1662</v>
      </c>
      <c r="I658" s="4"/>
      <c r="J658" s="4"/>
      <c r="K658" s="4"/>
      <c r="L658" s="4"/>
    </row>
    <row r="659" spans="1:12" x14ac:dyDescent="0.25">
      <c r="A659" s="2" t="str">
        <f>HYPERLINK("https://www.list-org.com/company/13912109","https://www.list-org.com/company/13912109")</f>
        <v>https://www.list-org.com/company/13912109</v>
      </c>
      <c r="B659" s="3" t="s">
        <v>2348</v>
      </c>
      <c r="C659" s="3" t="s">
        <v>2349</v>
      </c>
      <c r="D659" s="3" t="s">
        <v>14</v>
      </c>
      <c r="E659" s="3" t="s">
        <v>3180</v>
      </c>
      <c r="F659" s="3" t="s">
        <v>3181</v>
      </c>
      <c r="G659" s="3"/>
      <c r="H659" s="3" t="s">
        <v>3182</v>
      </c>
      <c r="I659" s="4"/>
      <c r="J659" s="4"/>
      <c r="K659" s="4"/>
      <c r="L659" s="4"/>
    </row>
    <row r="660" spans="1:12" x14ac:dyDescent="0.25">
      <c r="A660" s="2" t="str">
        <f>HYPERLINK("https://www.list-org.com/company/13913051","https://www.list-org.com/company/13913051")</f>
        <v>https://www.list-org.com/company/13913051</v>
      </c>
      <c r="B660" s="3" t="s">
        <v>3183</v>
      </c>
      <c r="C660" s="3" t="s">
        <v>3184</v>
      </c>
      <c r="D660" s="3" t="s">
        <v>14</v>
      </c>
      <c r="E660" s="3" t="s">
        <v>3185</v>
      </c>
      <c r="F660" s="3" t="s">
        <v>3186</v>
      </c>
      <c r="G660" s="3"/>
      <c r="H660" s="3" t="s">
        <v>3187</v>
      </c>
      <c r="I660" s="4">
        <v>5</v>
      </c>
      <c r="J660" s="4">
        <v>77511</v>
      </c>
      <c r="K660" s="4">
        <v>951</v>
      </c>
      <c r="L660" s="4">
        <v>961</v>
      </c>
    </row>
    <row r="661" spans="1:12" x14ac:dyDescent="0.25">
      <c r="A661" s="2" t="str">
        <f>HYPERLINK("https://www.list-org.com/company/13913710","https://www.list-org.com/company/13913710")</f>
        <v>https://www.list-org.com/company/13913710</v>
      </c>
      <c r="B661" s="3" t="s">
        <v>3188</v>
      </c>
      <c r="C661" s="3" t="s">
        <v>3189</v>
      </c>
      <c r="D661" s="3" t="s">
        <v>14</v>
      </c>
      <c r="E661" s="3" t="s">
        <v>3190</v>
      </c>
      <c r="F661" s="3" t="s">
        <v>3191</v>
      </c>
      <c r="G661" s="3"/>
      <c r="H661" s="3" t="s">
        <v>410</v>
      </c>
      <c r="I661" s="4"/>
      <c r="J661" s="4"/>
      <c r="K661" s="4"/>
      <c r="L661" s="4"/>
    </row>
    <row r="662" spans="1:12" x14ac:dyDescent="0.25">
      <c r="A662" s="2" t="str">
        <f>HYPERLINK("https://www.list-org.com/company/13916505","https://www.list-org.com/company/13916505")</f>
        <v>https://www.list-org.com/company/13916505</v>
      </c>
      <c r="B662" s="3" t="s">
        <v>3192</v>
      </c>
      <c r="C662" s="3" t="s">
        <v>3193</v>
      </c>
      <c r="D662" s="3" t="s">
        <v>14</v>
      </c>
      <c r="E662" s="3" t="s">
        <v>3194</v>
      </c>
      <c r="F662" s="3" t="s">
        <v>3195</v>
      </c>
      <c r="G662" s="3"/>
      <c r="H662" s="3" t="s">
        <v>3196</v>
      </c>
      <c r="I662" s="4"/>
      <c r="J662" s="4"/>
      <c r="K662" s="4"/>
      <c r="L662" s="4"/>
    </row>
    <row r="663" spans="1:12" x14ac:dyDescent="0.25">
      <c r="A663" s="2" t="str">
        <f>HYPERLINK("https://www.list-org.com/company/13916528","https://www.list-org.com/company/13916528")</f>
        <v>https://www.list-org.com/company/13916528</v>
      </c>
      <c r="B663" s="3" t="s">
        <v>3197</v>
      </c>
      <c r="C663" s="3" t="s">
        <v>3198</v>
      </c>
      <c r="D663" s="3" t="s">
        <v>14</v>
      </c>
      <c r="E663" s="3" t="s">
        <v>3199</v>
      </c>
      <c r="F663" s="3" t="s">
        <v>3200</v>
      </c>
      <c r="G663" s="3"/>
      <c r="H663" s="3" t="s">
        <v>3201</v>
      </c>
      <c r="I663" s="4"/>
      <c r="J663" s="4"/>
      <c r="K663" s="4"/>
      <c r="L663" s="4"/>
    </row>
    <row r="664" spans="1:12" x14ac:dyDescent="0.25">
      <c r="A664" s="2" t="str">
        <f>HYPERLINK("https://www.list-org.com/company/13916702","https://www.list-org.com/company/13916702")</f>
        <v>https://www.list-org.com/company/13916702</v>
      </c>
      <c r="B664" s="3" t="s">
        <v>3202</v>
      </c>
      <c r="C664" s="3" t="s">
        <v>3203</v>
      </c>
      <c r="D664" s="3" t="s">
        <v>14</v>
      </c>
      <c r="E664" s="3" t="s">
        <v>3204</v>
      </c>
      <c r="F664" s="3" t="s">
        <v>3205</v>
      </c>
      <c r="G664" s="3"/>
      <c r="H664" s="3" t="s">
        <v>3206</v>
      </c>
      <c r="I664" s="4"/>
      <c r="J664" s="4"/>
      <c r="K664" s="4"/>
      <c r="L664" s="4"/>
    </row>
    <row r="665" spans="1:12" x14ac:dyDescent="0.25">
      <c r="A665" s="2" t="str">
        <f>HYPERLINK("https://www.list-org.com/company/13917266","https://www.list-org.com/company/13917266")</f>
        <v>https://www.list-org.com/company/13917266</v>
      </c>
      <c r="B665" s="3" t="s">
        <v>3207</v>
      </c>
      <c r="C665" s="3" t="s">
        <v>3208</v>
      </c>
      <c r="D665" s="3" t="s">
        <v>14</v>
      </c>
      <c r="E665" s="3" t="s">
        <v>3209</v>
      </c>
      <c r="F665" s="3" t="s">
        <v>3210</v>
      </c>
      <c r="G665" s="3"/>
      <c r="H665" s="3" t="s">
        <v>3211</v>
      </c>
      <c r="I665" s="4"/>
      <c r="J665" s="4"/>
      <c r="K665" s="4"/>
      <c r="L665" s="4"/>
    </row>
    <row r="666" spans="1:12" x14ac:dyDescent="0.25">
      <c r="A666" s="2" t="str">
        <f>HYPERLINK("https://www.list-org.com/company/13917392","https://www.list-org.com/company/13917392")</f>
        <v>https://www.list-org.com/company/13917392</v>
      </c>
      <c r="B666" s="3" t="s">
        <v>3212</v>
      </c>
      <c r="C666" s="3" t="s">
        <v>3213</v>
      </c>
      <c r="D666" s="3" t="s">
        <v>14</v>
      </c>
      <c r="E666" s="3" t="s">
        <v>3214</v>
      </c>
      <c r="F666" s="3" t="s">
        <v>3215</v>
      </c>
      <c r="G666" s="3"/>
      <c r="H666" s="3" t="s">
        <v>3216</v>
      </c>
      <c r="I666" s="4"/>
      <c r="J666" s="4"/>
      <c r="K666" s="4"/>
      <c r="L666" s="4"/>
    </row>
    <row r="667" spans="1:12" x14ac:dyDescent="0.25">
      <c r="A667" s="2" t="str">
        <f>HYPERLINK("https://www.list-org.com/company/13918205","https://www.list-org.com/company/13918205")</f>
        <v>https://www.list-org.com/company/13918205</v>
      </c>
      <c r="B667" s="3" t="s">
        <v>3217</v>
      </c>
      <c r="C667" s="3" t="s">
        <v>3218</v>
      </c>
      <c r="D667" s="3" t="s">
        <v>14</v>
      </c>
      <c r="E667" s="3" t="s">
        <v>3219</v>
      </c>
      <c r="F667" s="3" t="s">
        <v>3220</v>
      </c>
      <c r="G667" s="3"/>
      <c r="H667" s="3" t="s">
        <v>3221</v>
      </c>
      <c r="I667" s="4"/>
      <c r="J667" s="4"/>
      <c r="K667" s="4"/>
      <c r="L667" s="4"/>
    </row>
    <row r="668" spans="1:12" x14ac:dyDescent="0.25">
      <c r="A668" s="2" t="str">
        <f>HYPERLINK("https://www.list-org.com/company/13918213","https://www.list-org.com/company/13918213")</f>
        <v>https://www.list-org.com/company/13918213</v>
      </c>
      <c r="B668" s="3" t="s">
        <v>3222</v>
      </c>
      <c r="C668" s="3" t="s">
        <v>3223</v>
      </c>
      <c r="D668" s="3" t="s">
        <v>14</v>
      </c>
      <c r="E668" s="3" t="s">
        <v>3224</v>
      </c>
      <c r="F668" s="3" t="s">
        <v>3225</v>
      </c>
      <c r="G668" s="3"/>
      <c r="H668" s="3" t="s">
        <v>1198</v>
      </c>
      <c r="I668" s="4"/>
      <c r="J668" s="4"/>
      <c r="K668" s="4"/>
      <c r="L668" s="4"/>
    </row>
    <row r="669" spans="1:12" x14ac:dyDescent="0.25">
      <c r="A669" s="2" t="str">
        <f>HYPERLINK("https://www.list-org.com/company/13918586","https://www.list-org.com/company/13918586")</f>
        <v>https://www.list-org.com/company/13918586</v>
      </c>
      <c r="B669" s="3" t="s">
        <v>3226</v>
      </c>
      <c r="C669" s="3" t="s">
        <v>3227</v>
      </c>
      <c r="D669" s="3" t="s">
        <v>14</v>
      </c>
      <c r="E669" s="3" t="s">
        <v>3228</v>
      </c>
      <c r="F669" s="3" t="s">
        <v>3229</v>
      </c>
      <c r="G669" s="3"/>
      <c r="H669" s="3" t="s">
        <v>3230</v>
      </c>
      <c r="I669" s="4">
        <v>2</v>
      </c>
      <c r="J669" s="4"/>
      <c r="K669" s="4">
        <v>-5256</v>
      </c>
      <c r="L669" s="4">
        <v>-8498</v>
      </c>
    </row>
    <row r="670" spans="1:12" x14ac:dyDescent="0.25">
      <c r="A670" s="2" t="str">
        <f>HYPERLINK("https://www.list-org.com/company/13918760","https://www.list-org.com/company/13918760")</f>
        <v>https://www.list-org.com/company/13918760</v>
      </c>
      <c r="B670" s="3" t="s">
        <v>3231</v>
      </c>
      <c r="C670" s="3" t="s">
        <v>3232</v>
      </c>
      <c r="D670" s="3" t="s">
        <v>14</v>
      </c>
      <c r="E670" s="3" t="s">
        <v>3233</v>
      </c>
      <c r="F670" s="3" t="s">
        <v>3234</v>
      </c>
      <c r="G670" s="3"/>
      <c r="H670" s="3" t="s">
        <v>3235</v>
      </c>
      <c r="I670" s="4"/>
      <c r="J670" s="4"/>
      <c r="K670" s="4"/>
      <c r="L670" s="4"/>
    </row>
    <row r="671" spans="1:12" x14ac:dyDescent="0.25">
      <c r="A671" s="2" t="str">
        <f>HYPERLINK("https://www.list-org.com/company/13919137","https://www.list-org.com/company/13919137")</f>
        <v>https://www.list-org.com/company/13919137</v>
      </c>
      <c r="B671" s="3" t="s">
        <v>3236</v>
      </c>
      <c r="C671" s="3" t="s">
        <v>3237</v>
      </c>
      <c r="D671" s="3" t="s">
        <v>14</v>
      </c>
      <c r="E671" s="3" t="s">
        <v>3238</v>
      </c>
      <c r="F671" s="3" t="s">
        <v>3239</v>
      </c>
      <c r="G671" s="3"/>
      <c r="H671" s="3" t="s">
        <v>3240</v>
      </c>
      <c r="I671" s="4"/>
      <c r="J671" s="4"/>
      <c r="K671" s="4"/>
      <c r="L671" s="4"/>
    </row>
    <row r="672" spans="1:12" x14ac:dyDescent="0.25">
      <c r="A672" s="2" t="str">
        <f>HYPERLINK("https://www.list-org.com/company/13919419","https://www.list-org.com/company/13919419")</f>
        <v>https://www.list-org.com/company/13919419</v>
      </c>
      <c r="B672" s="3" t="s">
        <v>3241</v>
      </c>
      <c r="C672" s="3" t="s">
        <v>3242</v>
      </c>
      <c r="D672" s="3" t="s">
        <v>14</v>
      </c>
      <c r="E672" s="3" t="s">
        <v>3243</v>
      </c>
      <c r="F672" s="3" t="s">
        <v>3244</v>
      </c>
      <c r="G672" s="3"/>
      <c r="H672" s="3" t="s">
        <v>991</v>
      </c>
      <c r="I672" s="4"/>
      <c r="J672" s="4"/>
      <c r="K672" s="4"/>
      <c r="L672" s="4"/>
    </row>
    <row r="673" spans="1:12" x14ac:dyDescent="0.25">
      <c r="A673" s="2" t="str">
        <f>HYPERLINK("https://www.list-org.com/company/13921634","https://www.list-org.com/company/13921634")</f>
        <v>https://www.list-org.com/company/13921634</v>
      </c>
      <c r="B673" s="3" t="s">
        <v>3245</v>
      </c>
      <c r="C673" s="3" t="s">
        <v>3246</v>
      </c>
      <c r="D673" s="3" t="s">
        <v>14</v>
      </c>
      <c r="E673" s="3" t="s">
        <v>3247</v>
      </c>
      <c r="F673" s="3" t="s">
        <v>3248</v>
      </c>
      <c r="G673" s="3"/>
      <c r="H673" s="3" t="s">
        <v>3249</v>
      </c>
      <c r="I673" s="4"/>
      <c r="J673" s="4"/>
      <c r="K673" s="4"/>
      <c r="L673" s="4"/>
    </row>
    <row r="674" spans="1:12" x14ac:dyDescent="0.25">
      <c r="A674" s="2" t="str">
        <f>HYPERLINK("https://www.list-org.com/company/13922317","https://www.list-org.com/company/13922317")</f>
        <v>https://www.list-org.com/company/13922317</v>
      </c>
      <c r="B674" s="3" t="s">
        <v>3250</v>
      </c>
      <c r="C674" s="3" t="s">
        <v>3251</v>
      </c>
      <c r="D674" s="3" t="s">
        <v>14</v>
      </c>
      <c r="E674" s="3" t="s">
        <v>3252</v>
      </c>
      <c r="F674" s="3" t="s">
        <v>3253</v>
      </c>
      <c r="G674" s="3"/>
      <c r="H674" s="3" t="s">
        <v>3254</v>
      </c>
      <c r="I674" s="4"/>
      <c r="J674" s="4"/>
      <c r="K674" s="4"/>
      <c r="L674" s="4"/>
    </row>
    <row r="675" spans="1:12" x14ac:dyDescent="0.25">
      <c r="A675" s="2" t="str">
        <f>HYPERLINK("https://www.list-org.com/company/13922347","https://www.list-org.com/company/13922347")</f>
        <v>https://www.list-org.com/company/13922347</v>
      </c>
      <c r="B675" s="3" t="s">
        <v>3255</v>
      </c>
      <c r="C675" s="3" t="s">
        <v>3256</v>
      </c>
      <c r="D675" s="3" t="s">
        <v>14</v>
      </c>
      <c r="E675" s="3" t="s">
        <v>3257</v>
      </c>
      <c r="F675" s="3" t="s">
        <v>3258</v>
      </c>
      <c r="G675" s="3"/>
      <c r="H675" s="3" t="s">
        <v>3259</v>
      </c>
      <c r="I675" s="4"/>
      <c r="J675" s="4"/>
      <c r="K675" s="4"/>
      <c r="L675" s="4"/>
    </row>
    <row r="676" spans="1:12" x14ac:dyDescent="0.25">
      <c r="A676" s="2" t="str">
        <f>HYPERLINK("https://www.list-org.com/company/13924127","https://www.list-org.com/company/13924127")</f>
        <v>https://www.list-org.com/company/13924127</v>
      </c>
      <c r="B676" s="3" t="s">
        <v>3260</v>
      </c>
      <c r="C676" s="3" t="s">
        <v>3261</v>
      </c>
      <c r="D676" s="3" t="s">
        <v>14</v>
      </c>
      <c r="E676" s="3" t="s">
        <v>3262</v>
      </c>
      <c r="F676" s="3" t="s">
        <v>3263</v>
      </c>
      <c r="G676" s="3"/>
      <c r="H676" s="3" t="s">
        <v>1466</v>
      </c>
      <c r="I676" s="4"/>
      <c r="J676" s="4"/>
      <c r="K676" s="4"/>
      <c r="L676" s="4"/>
    </row>
    <row r="677" spans="1:12" x14ac:dyDescent="0.25">
      <c r="A677" s="2" t="str">
        <f>HYPERLINK("https://www.list-org.com/company/13925162","https://www.list-org.com/company/13925162")</f>
        <v>https://www.list-org.com/company/13925162</v>
      </c>
      <c r="B677" s="3" t="s">
        <v>3264</v>
      </c>
      <c r="C677" s="3" t="s">
        <v>3265</v>
      </c>
      <c r="D677" s="3" t="s">
        <v>14</v>
      </c>
      <c r="E677" s="3" t="s">
        <v>3266</v>
      </c>
      <c r="F677" s="3" t="s">
        <v>3267</v>
      </c>
      <c r="G677" s="3"/>
      <c r="H677" s="3" t="s">
        <v>1446</v>
      </c>
      <c r="I677" s="4"/>
      <c r="J677" s="4"/>
      <c r="K677" s="4"/>
      <c r="L677" s="4"/>
    </row>
    <row r="678" spans="1:12" x14ac:dyDescent="0.25">
      <c r="A678" s="2" t="str">
        <f>HYPERLINK("https://www.list-org.com/company/13925163","https://www.list-org.com/company/13925163")</f>
        <v>https://www.list-org.com/company/13925163</v>
      </c>
      <c r="B678" s="3" t="s">
        <v>3268</v>
      </c>
      <c r="C678" s="3" t="s">
        <v>3269</v>
      </c>
      <c r="D678" s="3" t="s">
        <v>14</v>
      </c>
      <c r="E678" s="3" t="s">
        <v>3270</v>
      </c>
      <c r="F678" s="3" t="s">
        <v>3271</v>
      </c>
      <c r="G678" s="3"/>
      <c r="H678" s="3" t="s">
        <v>3272</v>
      </c>
      <c r="I678" s="4">
        <v>1</v>
      </c>
      <c r="J678" s="4"/>
      <c r="K678" s="4"/>
      <c r="L678" s="4">
        <v>670000000</v>
      </c>
    </row>
    <row r="679" spans="1:12" x14ac:dyDescent="0.25">
      <c r="A679" s="2" t="str">
        <f>HYPERLINK("https://www.list-org.com/company/13927256","https://www.list-org.com/company/13927256")</f>
        <v>https://www.list-org.com/company/13927256</v>
      </c>
      <c r="B679" s="3" t="s">
        <v>3273</v>
      </c>
      <c r="C679" s="3" t="s">
        <v>3274</v>
      </c>
      <c r="D679" s="3" t="s">
        <v>14</v>
      </c>
      <c r="E679" s="3" t="s">
        <v>3275</v>
      </c>
      <c r="F679" s="3" t="s">
        <v>3276</v>
      </c>
      <c r="G679" s="3"/>
      <c r="H679" s="3" t="s">
        <v>3277</v>
      </c>
      <c r="I679" s="4"/>
      <c r="J679" s="4"/>
      <c r="K679" s="4"/>
      <c r="L679" s="4"/>
    </row>
    <row r="680" spans="1:12" x14ac:dyDescent="0.25">
      <c r="A680" s="2" t="str">
        <f>HYPERLINK("https://www.list-org.com/company/13927474","https://www.list-org.com/company/13927474")</f>
        <v>https://www.list-org.com/company/13927474</v>
      </c>
      <c r="B680" s="3" t="s">
        <v>3278</v>
      </c>
      <c r="C680" s="3" t="s">
        <v>3279</v>
      </c>
      <c r="D680" s="3" t="s">
        <v>14</v>
      </c>
      <c r="E680" s="3" t="s">
        <v>3280</v>
      </c>
      <c r="F680" s="3" t="s">
        <v>3281</v>
      </c>
      <c r="G680" s="3"/>
      <c r="H680" s="3" t="s">
        <v>3282</v>
      </c>
      <c r="I680" s="4"/>
      <c r="J680" s="4"/>
      <c r="K680" s="4"/>
      <c r="L680" s="4"/>
    </row>
    <row r="681" spans="1:12" x14ac:dyDescent="0.25">
      <c r="A681" s="2" t="str">
        <f>HYPERLINK("https://www.list-org.com/company/13930426","https://www.list-org.com/company/13930426")</f>
        <v>https://www.list-org.com/company/13930426</v>
      </c>
      <c r="B681" s="3" t="s">
        <v>3283</v>
      </c>
      <c r="C681" s="3" t="s">
        <v>3284</v>
      </c>
      <c r="D681" s="3" t="s">
        <v>14</v>
      </c>
      <c r="E681" s="3" t="s">
        <v>3285</v>
      </c>
      <c r="F681" s="3" t="s">
        <v>3286</v>
      </c>
      <c r="G681" s="3"/>
      <c r="H681" s="3" t="s">
        <v>3287</v>
      </c>
      <c r="I681" s="4"/>
      <c r="J681" s="4"/>
      <c r="K681" s="4"/>
      <c r="L681" s="4"/>
    </row>
    <row r="682" spans="1:12" x14ac:dyDescent="0.25">
      <c r="A682" s="2" t="str">
        <f>HYPERLINK("https://www.list-org.com/company/13931096","https://www.list-org.com/company/13931096")</f>
        <v>https://www.list-org.com/company/13931096</v>
      </c>
      <c r="B682" s="3" t="s">
        <v>3288</v>
      </c>
      <c r="C682" s="3" t="s">
        <v>3289</v>
      </c>
      <c r="D682" s="3" t="s">
        <v>14</v>
      </c>
      <c r="E682" s="3" t="s">
        <v>3290</v>
      </c>
      <c r="F682" s="3" t="s">
        <v>3291</v>
      </c>
      <c r="G682" s="3"/>
      <c r="H682" s="3" t="s">
        <v>1198</v>
      </c>
      <c r="I682" s="4"/>
      <c r="J682" s="4"/>
      <c r="K682" s="4"/>
      <c r="L682" s="4"/>
    </row>
    <row r="683" spans="1:12" x14ac:dyDescent="0.25">
      <c r="A683" s="2" t="str">
        <f>HYPERLINK("https://www.list-org.com/company/13931241","https://www.list-org.com/company/13931241")</f>
        <v>https://www.list-org.com/company/13931241</v>
      </c>
      <c r="B683" s="3" t="s">
        <v>3292</v>
      </c>
      <c r="C683" s="3" t="s">
        <v>3293</v>
      </c>
      <c r="D683" s="3" t="s">
        <v>14</v>
      </c>
      <c r="E683" s="3" t="s">
        <v>3294</v>
      </c>
      <c r="F683" s="3" t="s">
        <v>3295</v>
      </c>
      <c r="G683" s="3"/>
      <c r="H683" s="3" t="s">
        <v>3296</v>
      </c>
      <c r="I683" s="4"/>
      <c r="J683" s="4"/>
      <c r="K683" s="4"/>
      <c r="L683" s="4"/>
    </row>
    <row r="684" spans="1:12" x14ac:dyDescent="0.25">
      <c r="A684" s="2" t="str">
        <f>HYPERLINK("https://www.list-org.com/company/13931302","https://www.list-org.com/company/13931302")</f>
        <v>https://www.list-org.com/company/13931302</v>
      </c>
      <c r="B684" s="3" t="s">
        <v>3297</v>
      </c>
      <c r="C684" s="3" t="s">
        <v>3298</v>
      </c>
      <c r="D684" s="3" t="s">
        <v>14</v>
      </c>
      <c r="E684" s="3" t="s">
        <v>3299</v>
      </c>
      <c r="F684" s="3" t="s">
        <v>3300</v>
      </c>
      <c r="G684" s="3"/>
      <c r="H684" s="3" t="s">
        <v>3301</v>
      </c>
      <c r="I684" s="4"/>
      <c r="J684" s="4"/>
      <c r="K684" s="4"/>
      <c r="L684" s="4"/>
    </row>
    <row r="685" spans="1:12" x14ac:dyDescent="0.25">
      <c r="A685" s="2" t="str">
        <f>HYPERLINK("https://www.list-org.com/company/13932844","https://www.list-org.com/company/13932844")</f>
        <v>https://www.list-org.com/company/13932844</v>
      </c>
      <c r="B685" s="3" t="s">
        <v>3302</v>
      </c>
      <c r="C685" s="3" t="s">
        <v>3303</v>
      </c>
      <c r="D685" s="3" t="s">
        <v>14</v>
      </c>
      <c r="E685" s="3" t="s">
        <v>3304</v>
      </c>
      <c r="F685" s="3" t="s">
        <v>3305</v>
      </c>
      <c r="G685" s="3"/>
      <c r="H685" s="3" t="s">
        <v>3306</v>
      </c>
      <c r="I685" s="4"/>
      <c r="J685" s="4"/>
      <c r="K685" s="4"/>
      <c r="L685" s="4"/>
    </row>
    <row r="686" spans="1:12" x14ac:dyDescent="0.25">
      <c r="A686" s="2" t="str">
        <f>HYPERLINK("https://www.list-org.com/company/13933403","https://www.list-org.com/company/13933403")</f>
        <v>https://www.list-org.com/company/13933403</v>
      </c>
      <c r="B686" s="3" t="s">
        <v>3307</v>
      </c>
      <c r="C686" s="3" t="s">
        <v>3308</v>
      </c>
      <c r="D686" s="3" t="s">
        <v>14</v>
      </c>
      <c r="E686" s="3" t="s">
        <v>3309</v>
      </c>
      <c r="F686" s="3" t="s">
        <v>3310</v>
      </c>
      <c r="G686" s="3"/>
      <c r="H686" s="3" t="s">
        <v>3311</v>
      </c>
      <c r="I686" s="4"/>
      <c r="J686" s="4"/>
      <c r="K686" s="4"/>
      <c r="L686" s="4"/>
    </row>
    <row r="687" spans="1:12" x14ac:dyDescent="0.25">
      <c r="A687" s="2" t="str">
        <f>HYPERLINK("https://www.list-org.com/company/13934844","https://www.list-org.com/company/13934844")</f>
        <v>https://www.list-org.com/company/13934844</v>
      </c>
      <c r="B687" s="3" t="s">
        <v>3312</v>
      </c>
      <c r="C687" s="3" t="s">
        <v>3313</v>
      </c>
      <c r="D687" s="3" t="s">
        <v>14</v>
      </c>
      <c r="E687" s="3" t="s">
        <v>3314</v>
      </c>
      <c r="F687" s="3" t="s">
        <v>3315</v>
      </c>
      <c r="G687" s="3"/>
      <c r="H687" s="3" t="s">
        <v>1466</v>
      </c>
      <c r="I687" s="4">
        <v>1</v>
      </c>
      <c r="J687" s="4">
        <v>933</v>
      </c>
      <c r="K687" s="4"/>
      <c r="L687" s="4">
        <v>1863</v>
      </c>
    </row>
    <row r="688" spans="1:12" x14ac:dyDescent="0.25">
      <c r="A688" s="2" t="str">
        <f>HYPERLINK("https://www.list-org.com/company/13935299","https://www.list-org.com/company/13935299")</f>
        <v>https://www.list-org.com/company/13935299</v>
      </c>
      <c r="B688" s="3" t="s">
        <v>3316</v>
      </c>
      <c r="C688" s="3" t="s">
        <v>3317</v>
      </c>
      <c r="D688" s="3" t="s">
        <v>14</v>
      </c>
      <c r="E688" s="3" t="s">
        <v>3318</v>
      </c>
      <c r="F688" s="3" t="s">
        <v>3319</v>
      </c>
      <c r="G688" s="3"/>
      <c r="H688" s="3" t="s">
        <v>3320</v>
      </c>
      <c r="I688" s="4"/>
      <c r="J688" s="4"/>
      <c r="K688" s="4"/>
      <c r="L688" s="4"/>
    </row>
    <row r="689" spans="1:12" x14ac:dyDescent="0.25">
      <c r="A689" s="2" t="str">
        <f>HYPERLINK("https://www.list-org.com/company/13935310","https://www.list-org.com/company/13935310")</f>
        <v>https://www.list-org.com/company/13935310</v>
      </c>
      <c r="B689" s="3" t="s">
        <v>3321</v>
      </c>
      <c r="C689" s="3" t="s">
        <v>3322</v>
      </c>
      <c r="D689" s="3" t="s">
        <v>14</v>
      </c>
      <c r="E689" s="3" t="s">
        <v>3323</v>
      </c>
      <c r="F689" s="3" t="s">
        <v>3324</v>
      </c>
      <c r="G689" s="3"/>
      <c r="H689" s="3" t="s">
        <v>3325</v>
      </c>
      <c r="I689" s="4"/>
      <c r="J689" s="4"/>
      <c r="K689" s="4"/>
      <c r="L689" s="4"/>
    </row>
    <row r="690" spans="1:12" x14ac:dyDescent="0.25">
      <c r="A690" s="2" t="str">
        <f>HYPERLINK("https://www.list-org.com/company/13935850","https://www.list-org.com/company/13935850")</f>
        <v>https://www.list-org.com/company/13935850</v>
      </c>
      <c r="B690" s="3" t="s">
        <v>3326</v>
      </c>
      <c r="C690" s="3" t="s">
        <v>3327</v>
      </c>
      <c r="D690" s="3" t="s">
        <v>14</v>
      </c>
      <c r="E690" s="3" t="s">
        <v>3328</v>
      </c>
      <c r="F690" s="3" t="s">
        <v>3329</v>
      </c>
      <c r="G690" s="3"/>
      <c r="H690" s="3" t="s">
        <v>3330</v>
      </c>
      <c r="I690" s="4"/>
      <c r="J690" s="4"/>
      <c r="K690" s="4"/>
      <c r="L690" s="4"/>
    </row>
    <row r="691" spans="1:12" x14ac:dyDescent="0.25">
      <c r="A691" s="2" t="str">
        <f>HYPERLINK("https://www.list-org.com/company/13938160","https://www.list-org.com/company/13938160")</f>
        <v>https://www.list-org.com/company/13938160</v>
      </c>
      <c r="B691" s="3" t="s">
        <v>3331</v>
      </c>
      <c r="C691" s="3" t="s">
        <v>3332</v>
      </c>
      <c r="D691" s="3" t="s">
        <v>14</v>
      </c>
      <c r="E691" s="3" t="s">
        <v>3333</v>
      </c>
      <c r="F691" s="3" t="s">
        <v>3334</v>
      </c>
      <c r="G691" s="3"/>
      <c r="H691" s="3" t="s">
        <v>2657</v>
      </c>
      <c r="I691" s="4"/>
      <c r="J691" s="4"/>
      <c r="K691" s="4"/>
      <c r="L691" s="4"/>
    </row>
    <row r="692" spans="1:12" x14ac:dyDescent="0.25">
      <c r="A692" s="2" t="str">
        <f>HYPERLINK("https://www.list-org.com/company/13938255","https://www.list-org.com/company/13938255")</f>
        <v>https://www.list-org.com/company/13938255</v>
      </c>
      <c r="B692" s="3" t="s">
        <v>3335</v>
      </c>
      <c r="C692" s="3" t="s">
        <v>3336</v>
      </c>
      <c r="D692" s="3" t="s">
        <v>14</v>
      </c>
      <c r="E692" s="3" t="s">
        <v>3337</v>
      </c>
      <c r="F692" s="3" t="s">
        <v>3338</v>
      </c>
      <c r="G692" s="3"/>
      <c r="H692" s="3" t="s">
        <v>3339</v>
      </c>
      <c r="I692" s="4"/>
      <c r="J692" s="4"/>
      <c r="K692" s="4"/>
      <c r="L692" s="4"/>
    </row>
    <row r="693" spans="1:12" x14ac:dyDescent="0.25">
      <c r="A693" s="2" t="str">
        <f>HYPERLINK("https://www.list-org.com/company/13939521","https://www.list-org.com/company/13939521")</f>
        <v>https://www.list-org.com/company/13939521</v>
      </c>
      <c r="B693" s="3" t="s">
        <v>3340</v>
      </c>
      <c r="C693" s="3" t="s">
        <v>3341</v>
      </c>
      <c r="D693" s="3" t="s">
        <v>14</v>
      </c>
      <c r="E693" s="3" t="s">
        <v>3342</v>
      </c>
      <c r="F693" s="3" t="s">
        <v>3343</v>
      </c>
      <c r="G693" s="3"/>
      <c r="H693" s="3" t="s">
        <v>3344</v>
      </c>
      <c r="I693" s="4"/>
      <c r="J693" s="4"/>
      <c r="K693" s="4"/>
      <c r="L693" s="4"/>
    </row>
    <row r="694" spans="1:12" x14ac:dyDescent="0.25">
      <c r="A694" s="2" t="str">
        <f>HYPERLINK("https://www.list-org.com/company/13944485","https://www.list-org.com/company/13944485")</f>
        <v>https://www.list-org.com/company/13944485</v>
      </c>
      <c r="B694" s="3" t="s">
        <v>3345</v>
      </c>
      <c r="C694" s="3" t="s">
        <v>3346</v>
      </c>
      <c r="D694" s="3" t="s">
        <v>14</v>
      </c>
      <c r="E694" s="3" t="s">
        <v>3347</v>
      </c>
      <c r="F694" s="3" t="s">
        <v>3348</v>
      </c>
      <c r="G694" s="3"/>
      <c r="H694" s="3" t="s">
        <v>3349</v>
      </c>
      <c r="I694" s="4"/>
      <c r="J694" s="4"/>
      <c r="K694" s="4"/>
      <c r="L694" s="4"/>
    </row>
    <row r="695" spans="1:12" x14ac:dyDescent="0.25">
      <c r="A695" s="2" t="str">
        <f>HYPERLINK("https://www.list-org.com/company/13946078","https://www.list-org.com/company/13946078")</f>
        <v>https://www.list-org.com/company/13946078</v>
      </c>
      <c r="B695" s="3" t="s">
        <v>3350</v>
      </c>
      <c r="C695" s="3" t="s">
        <v>3351</v>
      </c>
      <c r="D695" s="3" t="s">
        <v>14</v>
      </c>
      <c r="E695" s="3" t="s">
        <v>3352</v>
      </c>
      <c r="F695" s="3" t="s">
        <v>3353</v>
      </c>
      <c r="G695" s="3"/>
      <c r="H695" s="3" t="s">
        <v>3127</v>
      </c>
      <c r="I695" s="4"/>
      <c r="J695" s="4"/>
      <c r="K695" s="4"/>
      <c r="L695" s="4"/>
    </row>
    <row r="696" spans="1:12" x14ac:dyDescent="0.25">
      <c r="A696" s="2" t="str">
        <f>HYPERLINK("https://www.list-org.com/company/13947616","https://www.list-org.com/company/13947616")</f>
        <v>https://www.list-org.com/company/13947616</v>
      </c>
      <c r="B696" s="3" t="s">
        <v>842</v>
      </c>
      <c r="C696" s="3" t="s">
        <v>843</v>
      </c>
      <c r="D696" s="3" t="s">
        <v>14</v>
      </c>
      <c r="E696" s="3" t="s">
        <v>3354</v>
      </c>
      <c r="F696" s="3" t="s">
        <v>3355</v>
      </c>
      <c r="G696" s="3"/>
      <c r="H696" s="3" t="s">
        <v>3356</v>
      </c>
      <c r="I696" s="4"/>
      <c r="J696" s="4">
        <v>20195</v>
      </c>
      <c r="K696" s="4">
        <v>1309</v>
      </c>
      <c r="L696" s="4">
        <v>2235</v>
      </c>
    </row>
    <row r="697" spans="1:12" x14ac:dyDescent="0.25">
      <c r="A697" s="2" t="str">
        <f>HYPERLINK("https://www.list-org.com/company/13947751","https://www.list-org.com/company/13947751")</f>
        <v>https://www.list-org.com/company/13947751</v>
      </c>
      <c r="B697" s="3" t="s">
        <v>3357</v>
      </c>
      <c r="C697" s="3" t="s">
        <v>3358</v>
      </c>
      <c r="D697" s="3" t="s">
        <v>14</v>
      </c>
      <c r="E697" s="3" t="s">
        <v>3359</v>
      </c>
      <c r="F697" s="3" t="s">
        <v>3360</v>
      </c>
      <c r="G697" s="3"/>
      <c r="H697" s="3" t="s">
        <v>3361</v>
      </c>
      <c r="I697" s="4"/>
      <c r="J697" s="4"/>
      <c r="K697" s="4"/>
      <c r="L697" s="4"/>
    </row>
    <row r="698" spans="1:12" x14ac:dyDescent="0.25">
      <c r="A698" s="2" t="str">
        <f>HYPERLINK("https://www.list-org.com/company/13948502","https://www.list-org.com/company/13948502")</f>
        <v>https://www.list-org.com/company/13948502</v>
      </c>
      <c r="B698" s="3" t="s">
        <v>3362</v>
      </c>
      <c r="C698" s="3" t="s">
        <v>3363</v>
      </c>
      <c r="D698" s="3" t="s">
        <v>14</v>
      </c>
      <c r="E698" s="3" t="s">
        <v>3364</v>
      </c>
      <c r="F698" s="3" t="s">
        <v>3365</v>
      </c>
      <c r="G698" s="3"/>
      <c r="H698" s="3" t="s">
        <v>3330</v>
      </c>
      <c r="I698" s="4"/>
      <c r="J698" s="4"/>
      <c r="K698" s="4"/>
      <c r="L698" s="4"/>
    </row>
    <row r="699" spans="1:12" x14ac:dyDescent="0.25">
      <c r="A699" s="2" t="str">
        <f>HYPERLINK("https://www.list-org.com/company/13951315","https://www.list-org.com/company/13951315")</f>
        <v>https://www.list-org.com/company/13951315</v>
      </c>
      <c r="B699" s="3" t="s">
        <v>3366</v>
      </c>
      <c r="C699" s="3" t="s">
        <v>3367</v>
      </c>
      <c r="D699" s="3" t="s">
        <v>14</v>
      </c>
      <c r="E699" s="3" t="s">
        <v>3368</v>
      </c>
      <c r="F699" s="3" t="s">
        <v>3369</v>
      </c>
      <c r="G699" s="3"/>
      <c r="H699" s="3" t="s">
        <v>3370</v>
      </c>
      <c r="I699" s="4"/>
      <c r="J699" s="4"/>
      <c r="K699" s="4"/>
      <c r="L699" s="4"/>
    </row>
    <row r="700" spans="1:12" x14ac:dyDescent="0.25">
      <c r="A700" s="2" t="str">
        <f>HYPERLINK("https://www.list-org.com/company/13953042","https://www.list-org.com/company/13953042")</f>
        <v>https://www.list-org.com/company/13953042</v>
      </c>
      <c r="B700" s="3" t="s">
        <v>3371</v>
      </c>
      <c r="C700" s="3" t="s">
        <v>3372</v>
      </c>
      <c r="D700" s="3" t="s">
        <v>14</v>
      </c>
      <c r="E700" s="3" t="s">
        <v>3373</v>
      </c>
      <c r="F700" s="3" t="s">
        <v>3374</v>
      </c>
      <c r="G700" s="3"/>
      <c r="H700" s="3" t="s">
        <v>3375</v>
      </c>
      <c r="I700" s="4"/>
      <c r="J700" s="4"/>
      <c r="K700" s="4"/>
      <c r="L700" s="4"/>
    </row>
    <row r="701" spans="1:12" x14ac:dyDescent="0.25">
      <c r="A701" s="2" t="str">
        <f>HYPERLINK("https://www.list-org.com/company/13954345","https://www.list-org.com/company/13954345")</f>
        <v>https://www.list-org.com/company/13954345</v>
      </c>
      <c r="B701" s="3" t="s">
        <v>3376</v>
      </c>
      <c r="C701" s="3" t="s">
        <v>3377</v>
      </c>
      <c r="D701" s="3" t="s">
        <v>14</v>
      </c>
      <c r="E701" s="3" t="s">
        <v>3378</v>
      </c>
      <c r="F701" s="3" t="s">
        <v>3379</v>
      </c>
      <c r="G701" s="3"/>
      <c r="H701" s="3" t="s">
        <v>3380</v>
      </c>
      <c r="I701" s="4"/>
      <c r="J701" s="4"/>
      <c r="K701" s="4"/>
      <c r="L701" s="4"/>
    </row>
    <row r="702" spans="1:12" x14ac:dyDescent="0.25">
      <c r="A702" s="2" t="str">
        <f>HYPERLINK("https://www.list-org.com/company/13955329","https://www.list-org.com/company/13955329")</f>
        <v>https://www.list-org.com/company/13955329</v>
      </c>
      <c r="B702" s="3" t="s">
        <v>3381</v>
      </c>
      <c r="C702" s="3" t="s">
        <v>3382</v>
      </c>
      <c r="D702" s="3" t="s">
        <v>14</v>
      </c>
      <c r="E702" s="3" t="s">
        <v>3383</v>
      </c>
      <c r="F702" s="3" t="s">
        <v>3384</v>
      </c>
      <c r="G702" s="3"/>
      <c r="H702" s="3" t="s">
        <v>3385</v>
      </c>
      <c r="I702" s="4"/>
      <c r="J702" s="4"/>
      <c r="K702" s="4"/>
      <c r="L702" s="4"/>
    </row>
    <row r="703" spans="1:12" x14ac:dyDescent="0.25">
      <c r="A703" s="2" t="str">
        <f>HYPERLINK("https://www.list-org.com/company/13956218","https://www.list-org.com/company/13956218")</f>
        <v>https://www.list-org.com/company/13956218</v>
      </c>
      <c r="B703" s="3" t="s">
        <v>3386</v>
      </c>
      <c r="C703" s="3" t="s">
        <v>3387</v>
      </c>
      <c r="D703" s="3" t="s">
        <v>14</v>
      </c>
      <c r="E703" s="3" t="s">
        <v>3388</v>
      </c>
      <c r="F703" s="3" t="s">
        <v>3389</v>
      </c>
      <c r="G703" s="3"/>
      <c r="H703" s="3" t="s">
        <v>3390</v>
      </c>
      <c r="I703" s="4"/>
      <c r="J703" s="4"/>
      <c r="K703" s="4"/>
      <c r="L703" s="4"/>
    </row>
    <row r="704" spans="1:12" x14ac:dyDescent="0.25">
      <c r="A704" s="2" t="str">
        <f>HYPERLINK("https://www.list-org.com/company/13957377","https://www.list-org.com/company/13957377")</f>
        <v>https://www.list-org.com/company/13957377</v>
      </c>
      <c r="B704" s="3" t="s">
        <v>3391</v>
      </c>
      <c r="C704" s="3" t="s">
        <v>3392</v>
      </c>
      <c r="D704" s="3" t="s">
        <v>14</v>
      </c>
      <c r="E704" s="3" t="s">
        <v>3393</v>
      </c>
      <c r="F704" s="3" t="s">
        <v>3394</v>
      </c>
      <c r="G704" s="3"/>
      <c r="H704" s="3" t="s">
        <v>3395</v>
      </c>
      <c r="I704" s="4"/>
      <c r="J704" s="4"/>
      <c r="K704" s="4"/>
      <c r="L704" s="4"/>
    </row>
    <row r="705" spans="1:12" x14ac:dyDescent="0.25">
      <c r="A705" s="2" t="str">
        <f>HYPERLINK("https://www.list-org.com/company/13959539","https://www.list-org.com/company/13959539")</f>
        <v>https://www.list-org.com/company/13959539</v>
      </c>
      <c r="B705" s="3" t="s">
        <v>3396</v>
      </c>
      <c r="C705" s="3" t="s">
        <v>3397</v>
      </c>
      <c r="D705" s="3" t="s">
        <v>14</v>
      </c>
      <c r="E705" s="3" t="s">
        <v>3398</v>
      </c>
      <c r="F705" s="3" t="s">
        <v>3399</v>
      </c>
      <c r="G705" s="3"/>
      <c r="H705" s="3" t="s">
        <v>1565</v>
      </c>
      <c r="I705" s="4"/>
      <c r="J705" s="4"/>
      <c r="K705" s="4"/>
      <c r="L705" s="4"/>
    </row>
    <row r="706" spans="1:12" x14ac:dyDescent="0.25">
      <c r="A706" s="2" t="str">
        <f>HYPERLINK("https://www.list-org.com/company/13961034","https://www.list-org.com/company/13961034")</f>
        <v>https://www.list-org.com/company/13961034</v>
      </c>
      <c r="B706" s="3" t="s">
        <v>3400</v>
      </c>
      <c r="C706" s="3" t="s">
        <v>3401</v>
      </c>
      <c r="D706" s="3" t="s">
        <v>14</v>
      </c>
      <c r="E706" s="3" t="s">
        <v>3402</v>
      </c>
      <c r="F706" s="3" t="s">
        <v>3403</v>
      </c>
      <c r="G706" s="3"/>
      <c r="H706" s="3" t="s">
        <v>3404</v>
      </c>
      <c r="I706" s="4"/>
      <c r="J706" s="4"/>
      <c r="K706" s="4"/>
      <c r="L706" s="4"/>
    </row>
    <row r="707" spans="1:12" x14ac:dyDescent="0.25">
      <c r="A707" s="2" t="str">
        <f>HYPERLINK("https://www.list-org.com/company/13961162","https://www.list-org.com/company/13961162")</f>
        <v>https://www.list-org.com/company/13961162</v>
      </c>
      <c r="B707" s="3" t="s">
        <v>3405</v>
      </c>
      <c r="C707" s="3" t="s">
        <v>3406</v>
      </c>
      <c r="D707" s="3" t="s">
        <v>14</v>
      </c>
      <c r="E707" s="3" t="s">
        <v>3407</v>
      </c>
      <c r="F707" s="3" t="s">
        <v>3408</v>
      </c>
      <c r="G707" s="3"/>
      <c r="H707" s="3" t="s">
        <v>3409</v>
      </c>
      <c r="I707" s="4"/>
      <c r="J707" s="4"/>
      <c r="K707" s="4"/>
      <c r="L707" s="4"/>
    </row>
    <row r="708" spans="1:12" x14ac:dyDescent="0.25">
      <c r="A708" s="2" t="str">
        <f>HYPERLINK("https://www.list-org.com/company/13962799","https://www.list-org.com/company/13962799")</f>
        <v>https://www.list-org.com/company/13962799</v>
      </c>
      <c r="B708" s="3" t="s">
        <v>3410</v>
      </c>
      <c r="C708" s="3" t="s">
        <v>3411</v>
      </c>
      <c r="D708" s="3" t="s">
        <v>14</v>
      </c>
      <c r="E708" s="3" t="s">
        <v>3412</v>
      </c>
      <c r="F708" s="3" t="s">
        <v>3413</v>
      </c>
      <c r="G708" s="3"/>
      <c r="H708" s="3" t="s">
        <v>3414</v>
      </c>
      <c r="I708" s="4"/>
      <c r="J708" s="4"/>
      <c r="K708" s="4"/>
      <c r="L708" s="4"/>
    </row>
    <row r="709" spans="1:12" x14ac:dyDescent="0.25">
      <c r="A709" s="2" t="str">
        <f>HYPERLINK("https://www.list-org.com/company/13964937","https://www.list-org.com/company/13964937")</f>
        <v>https://www.list-org.com/company/13964937</v>
      </c>
      <c r="B709" s="3" t="s">
        <v>3415</v>
      </c>
      <c r="C709" s="3" t="s">
        <v>3416</v>
      </c>
      <c r="D709" s="3" t="s">
        <v>14</v>
      </c>
      <c r="E709" s="3" t="s">
        <v>3417</v>
      </c>
      <c r="F709" s="3" t="s">
        <v>3418</v>
      </c>
      <c r="G709" s="3"/>
      <c r="H709" s="3" t="s">
        <v>3419</v>
      </c>
      <c r="I709" s="4"/>
      <c r="J709" s="4"/>
      <c r="K709" s="4"/>
      <c r="L709" s="4"/>
    </row>
    <row r="710" spans="1:12" x14ac:dyDescent="0.25">
      <c r="A710" s="2" t="str">
        <f>HYPERLINK("https://www.list-org.com/company/13965026","https://www.list-org.com/company/13965026")</f>
        <v>https://www.list-org.com/company/13965026</v>
      </c>
      <c r="B710" s="3" t="s">
        <v>3420</v>
      </c>
      <c r="C710" s="3" t="s">
        <v>3421</v>
      </c>
      <c r="D710" s="3" t="s">
        <v>14</v>
      </c>
      <c r="E710" s="3" t="s">
        <v>3422</v>
      </c>
      <c r="F710" s="3" t="s">
        <v>3423</v>
      </c>
      <c r="G710" s="3"/>
      <c r="H710" s="3" t="s">
        <v>3424</v>
      </c>
      <c r="I710" s="4">
        <v>1</v>
      </c>
      <c r="J710" s="4">
        <v>1510</v>
      </c>
      <c r="K710" s="4">
        <v>795</v>
      </c>
      <c r="L710" s="4">
        <v>1157</v>
      </c>
    </row>
    <row r="711" spans="1:12" x14ac:dyDescent="0.25">
      <c r="A711" s="2" t="str">
        <f>HYPERLINK("https://www.list-org.com/company/13965827","https://www.list-org.com/company/13965827")</f>
        <v>https://www.list-org.com/company/13965827</v>
      </c>
      <c r="B711" s="3" t="s">
        <v>3425</v>
      </c>
      <c r="C711" s="3" t="s">
        <v>3426</v>
      </c>
      <c r="D711" s="3" t="s">
        <v>14</v>
      </c>
      <c r="E711" s="3" t="s">
        <v>3427</v>
      </c>
      <c r="F711" s="3" t="s">
        <v>3428</v>
      </c>
      <c r="G711" s="3"/>
      <c r="H711" s="3" t="s">
        <v>3429</v>
      </c>
      <c r="I711" s="4"/>
      <c r="J711" s="4"/>
      <c r="K711" s="4"/>
      <c r="L711" s="4"/>
    </row>
    <row r="712" spans="1:12" x14ac:dyDescent="0.25">
      <c r="A712" s="2" t="str">
        <f>HYPERLINK("https://www.list-org.com/company/13967698","https://www.list-org.com/company/13967698")</f>
        <v>https://www.list-org.com/company/13967698</v>
      </c>
      <c r="B712" s="3" t="s">
        <v>3430</v>
      </c>
      <c r="C712" s="3" t="s">
        <v>3431</v>
      </c>
      <c r="D712" s="3" t="s">
        <v>14</v>
      </c>
      <c r="E712" s="3" t="s">
        <v>3432</v>
      </c>
      <c r="F712" s="3" t="s">
        <v>3433</v>
      </c>
      <c r="G712" s="3"/>
      <c r="H712" s="3" t="s">
        <v>3414</v>
      </c>
      <c r="I712" s="4"/>
      <c r="J712" s="4"/>
      <c r="K712" s="4"/>
      <c r="L712" s="4"/>
    </row>
    <row r="713" spans="1:12" x14ac:dyDescent="0.25">
      <c r="A713" s="2" t="str">
        <f>HYPERLINK("https://www.list-org.com/company/13975629","https://www.list-org.com/company/13975629")</f>
        <v>https://www.list-org.com/company/13975629</v>
      </c>
      <c r="B713" s="3" t="s">
        <v>3434</v>
      </c>
      <c r="C713" s="3" t="s">
        <v>3435</v>
      </c>
      <c r="D713" s="3" t="s">
        <v>14</v>
      </c>
      <c r="E713" s="3" t="s">
        <v>3436</v>
      </c>
      <c r="F713" s="3" t="s">
        <v>3437</v>
      </c>
      <c r="G713" s="3"/>
      <c r="H713" s="3" t="s">
        <v>3438</v>
      </c>
      <c r="I713" s="4"/>
      <c r="J713" s="4"/>
      <c r="K713" s="4"/>
      <c r="L713" s="4"/>
    </row>
    <row r="714" spans="1:12" x14ac:dyDescent="0.25">
      <c r="A714" s="2" t="str">
        <f>HYPERLINK("https://www.list-org.com/company/14017968","https://www.list-org.com/company/14017968")</f>
        <v>https://www.list-org.com/company/14017968</v>
      </c>
      <c r="B714" s="3" t="s">
        <v>3439</v>
      </c>
      <c r="C714" s="3" t="s">
        <v>3440</v>
      </c>
      <c r="D714" s="3" t="s">
        <v>14</v>
      </c>
      <c r="E714" s="3" t="s">
        <v>3441</v>
      </c>
      <c r="F714" s="3" t="s">
        <v>3442</v>
      </c>
      <c r="G714" s="3"/>
      <c r="H714" s="3" t="s">
        <v>3443</v>
      </c>
      <c r="I714" s="4"/>
      <c r="J714" s="4"/>
      <c r="K714" s="4"/>
      <c r="L714" s="4"/>
    </row>
    <row r="715" spans="1:12" x14ac:dyDescent="0.25">
      <c r="A715" s="2" t="str">
        <f>HYPERLINK("https://www.list-org.com/company/14019579","https://www.list-org.com/company/14019579")</f>
        <v>https://www.list-org.com/company/14019579</v>
      </c>
      <c r="B715" s="3" t="s">
        <v>3444</v>
      </c>
      <c r="C715" s="3" t="s">
        <v>3445</v>
      </c>
      <c r="D715" s="3" t="s">
        <v>14</v>
      </c>
      <c r="E715" s="3" t="s">
        <v>3446</v>
      </c>
      <c r="F715" s="3" t="s">
        <v>3447</v>
      </c>
      <c r="G715" s="3"/>
      <c r="H715" s="3" t="s">
        <v>3448</v>
      </c>
      <c r="I715" s="4"/>
      <c r="J715" s="4"/>
      <c r="K715" s="4"/>
      <c r="L715" s="4"/>
    </row>
    <row r="716" spans="1:12" x14ac:dyDescent="0.25">
      <c r="A716" s="2" t="str">
        <f>HYPERLINK("https://www.list-org.com/company/14023803","https://www.list-org.com/company/14023803")</f>
        <v>https://www.list-org.com/company/14023803</v>
      </c>
      <c r="B716" s="3" t="s">
        <v>3449</v>
      </c>
      <c r="C716" s="3" t="s">
        <v>3450</v>
      </c>
      <c r="D716" s="3" t="s">
        <v>14</v>
      </c>
      <c r="E716" s="3" t="s">
        <v>3451</v>
      </c>
      <c r="F716" s="3" t="s">
        <v>3452</v>
      </c>
      <c r="G716" s="3"/>
      <c r="H716" s="3" t="s">
        <v>3453</v>
      </c>
      <c r="I716" s="4"/>
      <c r="J716" s="4"/>
      <c r="K716" s="4"/>
      <c r="L716" s="4"/>
    </row>
    <row r="717" spans="1:12" x14ac:dyDescent="0.25">
      <c r="A717" s="2" t="str">
        <f>HYPERLINK("https://www.list-org.com/company/14024064","https://www.list-org.com/company/14024064")</f>
        <v>https://www.list-org.com/company/14024064</v>
      </c>
      <c r="B717" s="3" t="s">
        <v>3454</v>
      </c>
      <c r="C717" s="3" t="s">
        <v>3455</v>
      </c>
      <c r="D717" s="3" t="s">
        <v>14</v>
      </c>
      <c r="E717" s="3" t="s">
        <v>3456</v>
      </c>
      <c r="F717" s="3" t="s">
        <v>3457</v>
      </c>
      <c r="G717" s="3"/>
      <c r="H717" s="3" t="s">
        <v>3458</v>
      </c>
      <c r="I717" s="4"/>
      <c r="J717" s="4"/>
      <c r="K717" s="4"/>
      <c r="L717" s="4"/>
    </row>
    <row r="718" spans="1:12" x14ac:dyDescent="0.25">
      <c r="A718" s="2" t="str">
        <f>HYPERLINK("https://www.list-org.com/company/14028546","https://www.list-org.com/company/14028546")</f>
        <v>https://www.list-org.com/company/14028546</v>
      </c>
      <c r="B718" s="3" t="s">
        <v>3459</v>
      </c>
      <c r="C718" s="3" t="s">
        <v>3460</v>
      </c>
      <c r="D718" s="3" t="s">
        <v>14</v>
      </c>
      <c r="E718" s="3" t="s">
        <v>3461</v>
      </c>
      <c r="F718" s="3" t="s">
        <v>3462</v>
      </c>
      <c r="G718" s="3"/>
      <c r="H718" s="3" t="s">
        <v>3463</v>
      </c>
      <c r="I718" s="4"/>
      <c r="J718" s="4"/>
      <c r="K718" s="4"/>
      <c r="L718" s="4"/>
    </row>
    <row r="719" spans="1:12" x14ac:dyDescent="0.25">
      <c r="A719" s="2" t="str">
        <f>HYPERLINK("https://www.list-org.com/company/14028819","https://www.list-org.com/company/14028819")</f>
        <v>https://www.list-org.com/company/14028819</v>
      </c>
      <c r="B719" s="3" t="s">
        <v>3464</v>
      </c>
      <c r="C719" s="3" t="s">
        <v>3465</v>
      </c>
      <c r="D719" s="3" t="s">
        <v>14</v>
      </c>
      <c r="E719" s="3" t="s">
        <v>3466</v>
      </c>
      <c r="F719" s="3" t="s">
        <v>3467</v>
      </c>
      <c r="G719" s="3"/>
      <c r="H719" s="3" t="s">
        <v>3468</v>
      </c>
      <c r="I719" s="4">
        <v>2</v>
      </c>
      <c r="J719" s="4">
        <v>6111</v>
      </c>
      <c r="K719" s="4">
        <v>579</v>
      </c>
      <c r="L719" s="4">
        <v>857</v>
      </c>
    </row>
    <row r="720" spans="1:12" x14ac:dyDescent="0.25">
      <c r="A720" s="2" t="str">
        <f>HYPERLINK("https://www.list-org.com/company/14029721","https://www.list-org.com/company/14029721")</f>
        <v>https://www.list-org.com/company/14029721</v>
      </c>
      <c r="B720" s="3" t="s">
        <v>3469</v>
      </c>
      <c r="C720" s="3" t="s">
        <v>3470</v>
      </c>
      <c r="D720" s="3" t="s">
        <v>14</v>
      </c>
      <c r="E720" s="3" t="s">
        <v>3471</v>
      </c>
      <c r="F720" s="3" t="s">
        <v>3472</v>
      </c>
      <c r="G720" s="3"/>
      <c r="H720" s="3" t="s">
        <v>3473</v>
      </c>
      <c r="I720" s="4"/>
      <c r="J720" s="4"/>
      <c r="K720" s="4"/>
      <c r="L720" s="4"/>
    </row>
    <row r="721" spans="1:12" x14ac:dyDescent="0.25">
      <c r="A721" s="2" t="str">
        <f>HYPERLINK("https://www.list-org.com/company/14033175","https://www.list-org.com/company/14033175")</f>
        <v>https://www.list-org.com/company/14033175</v>
      </c>
      <c r="B721" s="3" t="s">
        <v>3474</v>
      </c>
      <c r="C721" s="3" t="s">
        <v>3475</v>
      </c>
      <c r="D721" s="3" t="s">
        <v>14</v>
      </c>
      <c r="E721" s="3" t="s">
        <v>3476</v>
      </c>
      <c r="F721" s="3" t="s">
        <v>3477</v>
      </c>
      <c r="G721" s="3"/>
      <c r="H721" s="3" t="s">
        <v>3478</v>
      </c>
      <c r="I721" s="4"/>
      <c r="J721" s="4"/>
      <c r="K721" s="4"/>
      <c r="L721" s="4"/>
    </row>
    <row r="722" spans="1:12" x14ac:dyDescent="0.25">
      <c r="A722" s="2" t="str">
        <f>HYPERLINK("https://www.list-org.com/company/14040196","https://www.list-org.com/company/14040196")</f>
        <v>https://www.list-org.com/company/14040196</v>
      </c>
      <c r="B722" s="3" t="s">
        <v>3479</v>
      </c>
      <c r="C722" s="3" t="s">
        <v>3480</v>
      </c>
      <c r="D722" s="3" t="s">
        <v>14</v>
      </c>
      <c r="E722" s="3" t="s">
        <v>3481</v>
      </c>
      <c r="F722" s="3" t="s">
        <v>3482</v>
      </c>
      <c r="G722" s="3"/>
      <c r="H722" s="3" t="s">
        <v>3483</v>
      </c>
      <c r="I722" s="4"/>
      <c r="J722" s="4"/>
      <c r="K722" s="4"/>
      <c r="L722" s="4"/>
    </row>
    <row r="723" spans="1:12" x14ac:dyDescent="0.25">
      <c r="A723" s="2" t="str">
        <f>HYPERLINK("https://www.list-org.com/company/14043542","https://www.list-org.com/company/14043542")</f>
        <v>https://www.list-org.com/company/14043542</v>
      </c>
      <c r="B723" s="3" t="s">
        <v>3484</v>
      </c>
      <c r="C723" s="3" t="s">
        <v>3485</v>
      </c>
      <c r="D723" s="3" t="s">
        <v>14</v>
      </c>
      <c r="E723" s="3" t="s">
        <v>3486</v>
      </c>
      <c r="F723" s="3" t="s">
        <v>3487</v>
      </c>
      <c r="G723" s="3"/>
      <c r="H723" s="3" t="s">
        <v>3488</v>
      </c>
      <c r="I723" s="4"/>
      <c r="J723" s="4"/>
      <c r="K723" s="4"/>
      <c r="L723" s="4"/>
    </row>
    <row r="724" spans="1:12" x14ac:dyDescent="0.25">
      <c r="A724" s="2" t="str">
        <f>HYPERLINK("https://www.list-org.com/company/14044459","https://www.list-org.com/company/14044459")</f>
        <v>https://www.list-org.com/company/14044459</v>
      </c>
      <c r="B724" s="3" t="s">
        <v>3489</v>
      </c>
      <c r="C724" s="3" t="s">
        <v>3490</v>
      </c>
      <c r="D724" s="3" t="s">
        <v>14</v>
      </c>
      <c r="E724" s="3" t="s">
        <v>3491</v>
      </c>
      <c r="F724" s="3" t="s">
        <v>3492</v>
      </c>
      <c r="G724" s="3"/>
      <c r="H724" s="3" t="s">
        <v>3493</v>
      </c>
      <c r="I724" s="4"/>
      <c r="J724" s="4"/>
      <c r="K724" s="4"/>
      <c r="L724" s="4"/>
    </row>
    <row r="725" spans="1:12" x14ac:dyDescent="0.25">
      <c r="A725" s="2" t="str">
        <f>HYPERLINK("https://www.list-org.com/company/14044460","https://www.list-org.com/company/14044460")</f>
        <v>https://www.list-org.com/company/14044460</v>
      </c>
      <c r="B725" s="3" t="s">
        <v>3494</v>
      </c>
      <c r="C725" s="3" t="s">
        <v>3495</v>
      </c>
      <c r="D725" s="3" t="s">
        <v>14</v>
      </c>
      <c r="E725" s="3" t="s">
        <v>3496</v>
      </c>
      <c r="F725" s="3" t="s">
        <v>3497</v>
      </c>
      <c r="G725" s="3"/>
      <c r="H725" s="3" t="s">
        <v>3498</v>
      </c>
      <c r="I725" s="4"/>
      <c r="J725" s="4"/>
      <c r="K725" s="4"/>
      <c r="L725" s="4"/>
    </row>
    <row r="726" spans="1:12" x14ac:dyDescent="0.25">
      <c r="A726" s="2" t="str">
        <f>HYPERLINK("https://www.list-org.com/company/14044461","https://www.list-org.com/company/14044461")</f>
        <v>https://www.list-org.com/company/14044461</v>
      </c>
      <c r="B726" s="3" t="s">
        <v>3499</v>
      </c>
      <c r="C726" s="3" t="s">
        <v>3500</v>
      </c>
      <c r="D726" s="3" t="s">
        <v>14</v>
      </c>
      <c r="E726" s="3" t="s">
        <v>3501</v>
      </c>
      <c r="F726" s="3" t="s">
        <v>3502</v>
      </c>
      <c r="G726" s="3"/>
      <c r="H726" s="3" t="s">
        <v>3503</v>
      </c>
      <c r="I726" s="4"/>
      <c r="J726" s="4"/>
      <c r="K726" s="4"/>
      <c r="L726" s="4"/>
    </row>
    <row r="727" spans="1:12" x14ac:dyDescent="0.25">
      <c r="A727" s="2" t="str">
        <f>HYPERLINK("https://www.list-org.com/company/14044462","https://www.list-org.com/company/14044462")</f>
        <v>https://www.list-org.com/company/14044462</v>
      </c>
      <c r="B727" s="3" t="s">
        <v>3504</v>
      </c>
      <c r="C727" s="3" t="s">
        <v>3505</v>
      </c>
      <c r="D727" s="3" t="s">
        <v>14</v>
      </c>
      <c r="E727" s="3" t="s">
        <v>3506</v>
      </c>
      <c r="F727" s="3" t="s">
        <v>3507</v>
      </c>
      <c r="G727" s="3"/>
      <c r="H727" s="3" t="s">
        <v>3508</v>
      </c>
      <c r="I727" s="4"/>
      <c r="J727" s="4"/>
      <c r="K727" s="4"/>
      <c r="L727" s="4"/>
    </row>
    <row r="728" spans="1:12" x14ac:dyDescent="0.25">
      <c r="A728" s="2" t="str">
        <f>HYPERLINK("https://www.list-org.com/company/14044797","https://www.list-org.com/company/14044797")</f>
        <v>https://www.list-org.com/company/14044797</v>
      </c>
      <c r="B728" s="3" t="s">
        <v>3509</v>
      </c>
      <c r="C728" s="3" t="s">
        <v>3510</v>
      </c>
      <c r="D728" s="3" t="s">
        <v>14</v>
      </c>
      <c r="E728" s="3" t="s">
        <v>3511</v>
      </c>
      <c r="F728" s="3" t="s">
        <v>3512</v>
      </c>
      <c r="G728" s="3"/>
      <c r="H728" s="3" t="s">
        <v>3513</v>
      </c>
      <c r="I728" s="4"/>
      <c r="J728" s="4"/>
      <c r="K728" s="4"/>
      <c r="L728" s="4"/>
    </row>
    <row r="729" spans="1:12" x14ac:dyDescent="0.25">
      <c r="A729" s="2" t="str">
        <f>HYPERLINK("https://www.list-org.com/company/14045265","https://www.list-org.com/company/14045265")</f>
        <v>https://www.list-org.com/company/14045265</v>
      </c>
      <c r="B729" s="3" t="s">
        <v>3514</v>
      </c>
      <c r="C729" s="3" t="s">
        <v>3515</v>
      </c>
      <c r="D729" s="3" t="s">
        <v>14</v>
      </c>
      <c r="E729" s="3" t="s">
        <v>3516</v>
      </c>
      <c r="F729" s="3" t="s">
        <v>3517</v>
      </c>
      <c r="G729" s="3"/>
      <c r="H729" s="3" t="s">
        <v>3518</v>
      </c>
      <c r="I729" s="4"/>
      <c r="J729" s="4"/>
      <c r="K729" s="4"/>
      <c r="L729" s="4"/>
    </row>
    <row r="730" spans="1:12" x14ac:dyDescent="0.25">
      <c r="A730" s="2" t="str">
        <f>HYPERLINK("https://www.list-org.com/company/14045266","https://www.list-org.com/company/14045266")</f>
        <v>https://www.list-org.com/company/14045266</v>
      </c>
      <c r="B730" s="3" t="s">
        <v>3519</v>
      </c>
      <c r="C730" s="3" t="s">
        <v>3520</v>
      </c>
      <c r="D730" s="3" t="s">
        <v>14</v>
      </c>
      <c r="E730" s="3" t="s">
        <v>3521</v>
      </c>
      <c r="F730" s="3" t="s">
        <v>3522</v>
      </c>
      <c r="G730" s="3"/>
      <c r="H730" s="3" t="s">
        <v>3523</v>
      </c>
      <c r="I730" s="4"/>
      <c r="J730" s="4"/>
      <c r="K730" s="4"/>
      <c r="L730" s="4"/>
    </row>
    <row r="731" spans="1:12" x14ac:dyDescent="0.25">
      <c r="A731" s="2" t="str">
        <f>HYPERLINK("https://www.list-org.com/company/14045267","https://www.list-org.com/company/14045267")</f>
        <v>https://www.list-org.com/company/14045267</v>
      </c>
      <c r="B731" s="3" t="s">
        <v>3524</v>
      </c>
      <c r="C731" s="3" t="s">
        <v>3525</v>
      </c>
      <c r="D731" s="3" t="s">
        <v>14</v>
      </c>
      <c r="E731" s="3" t="s">
        <v>3526</v>
      </c>
      <c r="F731" s="3" t="s">
        <v>3527</v>
      </c>
      <c r="G731" s="3"/>
      <c r="H731" s="3" t="s">
        <v>3528</v>
      </c>
      <c r="I731" s="4"/>
      <c r="J731" s="4"/>
      <c r="K731" s="4"/>
      <c r="L731" s="4"/>
    </row>
    <row r="732" spans="1:12" x14ac:dyDescent="0.25">
      <c r="A732" s="2" t="str">
        <f>HYPERLINK("https://www.list-org.com/company/14045268","https://www.list-org.com/company/14045268")</f>
        <v>https://www.list-org.com/company/14045268</v>
      </c>
      <c r="B732" s="3" t="s">
        <v>3529</v>
      </c>
      <c r="C732" s="3" t="s">
        <v>3530</v>
      </c>
      <c r="D732" s="3" t="s">
        <v>14</v>
      </c>
      <c r="E732" s="3" t="s">
        <v>3531</v>
      </c>
      <c r="F732" s="3" t="s">
        <v>3532</v>
      </c>
      <c r="G732" s="3"/>
      <c r="H732" s="3" t="s">
        <v>3533</v>
      </c>
      <c r="I732" s="4"/>
      <c r="J732" s="4"/>
      <c r="K732" s="4"/>
      <c r="L732" s="4"/>
    </row>
    <row r="733" spans="1:12" x14ac:dyDescent="0.25">
      <c r="A733" s="2" t="str">
        <f>HYPERLINK("https://www.list-org.com/company/14045269","https://www.list-org.com/company/14045269")</f>
        <v>https://www.list-org.com/company/14045269</v>
      </c>
      <c r="B733" s="3" t="s">
        <v>3534</v>
      </c>
      <c r="C733" s="3" t="s">
        <v>3535</v>
      </c>
      <c r="D733" s="3" t="s">
        <v>14</v>
      </c>
      <c r="E733" s="3" t="s">
        <v>3536</v>
      </c>
      <c r="F733" s="3" t="s">
        <v>3537</v>
      </c>
      <c r="G733" s="3"/>
      <c r="H733" s="3" t="s">
        <v>3538</v>
      </c>
      <c r="I733" s="4"/>
      <c r="J733" s="4"/>
      <c r="K733" s="4"/>
      <c r="L733" s="4"/>
    </row>
    <row r="734" spans="1:12" x14ac:dyDescent="0.25">
      <c r="A734" s="2" t="str">
        <f>HYPERLINK("https://www.list-org.com/company/14045270","https://www.list-org.com/company/14045270")</f>
        <v>https://www.list-org.com/company/14045270</v>
      </c>
      <c r="B734" s="3" t="s">
        <v>3539</v>
      </c>
      <c r="C734" s="3" t="s">
        <v>3540</v>
      </c>
      <c r="D734" s="3" t="s">
        <v>14</v>
      </c>
      <c r="E734" s="3" t="s">
        <v>3541</v>
      </c>
      <c r="F734" s="3" t="s">
        <v>3542</v>
      </c>
      <c r="G734" s="3"/>
      <c r="H734" s="3" t="s">
        <v>1599</v>
      </c>
      <c r="I734" s="4"/>
      <c r="J734" s="4"/>
      <c r="K734" s="4"/>
      <c r="L734" s="4"/>
    </row>
    <row r="735" spans="1:12" x14ac:dyDescent="0.25">
      <c r="A735" s="2" t="str">
        <f>HYPERLINK("https://www.list-org.com/company/14045271","https://www.list-org.com/company/14045271")</f>
        <v>https://www.list-org.com/company/14045271</v>
      </c>
      <c r="B735" s="3" t="s">
        <v>3543</v>
      </c>
      <c r="C735" s="3" t="s">
        <v>3544</v>
      </c>
      <c r="D735" s="3" t="s">
        <v>14</v>
      </c>
      <c r="E735" s="3" t="s">
        <v>3545</v>
      </c>
      <c r="F735" s="3" t="s">
        <v>3546</v>
      </c>
      <c r="G735" s="3"/>
      <c r="H735" s="3" t="s">
        <v>3547</v>
      </c>
      <c r="I735" s="4"/>
      <c r="J735" s="4"/>
      <c r="K735" s="4"/>
      <c r="L735" s="4"/>
    </row>
    <row r="736" spans="1:12" x14ac:dyDescent="0.25">
      <c r="A736" s="2" t="str">
        <f>HYPERLINK("https://www.list-org.com/company/14045272","https://www.list-org.com/company/14045272")</f>
        <v>https://www.list-org.com/company/14045272</v>
      </c>
      <c r="B736" s="3" t="s">
        <v>3548</v>
      </c>
      <c r="C736" s="3" t="s">
        <v>3549</v>
      </c>
      <c r="D736" s="3" t="s">
        <v>14</v>
      </c>
      <c r="E736" s="3" t="s">
        <v>3550</v>
      </c>
      <c r="F736" s="3" t="s">
        <v>3551</v>
      </c>
      <c r="G736" s="3"/>
      <c r="H736" s="3" t="s">
        <v>3552</v>
      </c>
      <c r="I736" s="4"/>
      <c r="J736" s="4"/>
      <c r="K736" s="4"/>
      <c r="L736" s="4"/>
    </row>
    <row r="737" spans="1:12" x14ac:dyDescent="0.25">
      <c r="A737" s="2" t="str">
        <f>HYPERLINK("https://www.list-org.com/company/14045273","https://www.list-org.com/company/14045273")</f>
        <v>https://www.list-org.com/company/14045273</v>
      </c>
      <c r="B737" s="3" t="s">
        <v>3553</v>
      </c>
      <c r="C737" s="3" t="s">
        <v>3554</v>
      </c>
      <c r="D737" s="3" t="s">
        <v>14</v>
      </c>
      <c r="E737" s="3" t="s">
        <v>3555</v>
      </c>
      <c r="F737" s="3" t="s">
        <v>3556</v>
      </c>
      <c r="G737" s="3"/>
      <c r="H737" s="3" t="s">
        <v>3557</v>
      </c>
      <c r="I737" s="4"/>
      <c r="J737" s="4"/>
      <c r="K737" s="4"/>
      <c r="L737" s="4"/>
    </row>
    <row r="738" spans="1:12" x14ac:dyDescent="0.25">
      <c r="A738" s="2" t="str">
        <f>HYPERLINK("https://www.list-org.com/company/14045274","https://www.list-org.com/company/14045274")</f>
        <v>https://www.list-org.com/company/14045274</v>
      </c>
      <c r="B738" s="3" t="s">
        <v>3558</v>
      </c>
      <c r="C738" s="3" t="s">
        <v>3559</v>
      </c>
      <c r="D738" s="3" t="s">
        <v>14</v>
      </c>
      <c r="E738" s="3" t="s">
        <v>3560</v>
      </c>
      <c r="F738" s="3" t="s">
        <v>3561</v>
      </c>
      <c r="G738" s="3"/>
      <c r="H738" s="3" t="s">
        <v>3562</v>
      </c>
      <c r="I738" s="4"/>
      <c r="J738" s="4"/>
      <c r="K738" s="4"/>
      <c r="L738" s="4"/>
    </row>
    <row r="739" spans="1:12" x14ac:dyDescent="0.25">
      <c r="A739" s="2" t="str">
        <f>HYPERLINK("https://www.list-org.com/company/14045275","https://www.list-org.com/company/14045275")</f>
        <v>https://www.list-org.com/company/14045275</v>
      </c>
      <c r="B739" s="3" t="s">
        <v>3563</v>
      </c>
      <c r="C739" s="3" t="s">
        <v>3563</v>
      </c>
      <c r="D739" s="3" t="s">
        <v>14</v>
      </c>
      <c r="E739" s="3" t="s">
        <v>3564</v>
      </c>
      <c r="F739" s="3" t="s">
        <v>3565</v>
      </c>
      <c r="G739" s="3"/>
      <c r="H739" s="3" t="s">
        <v>3566</v>
      </c>
      <c r="I739" s="4"/>
      <c r="J739" s="4"/>
      <c r="K739" s="4"/>
      <c r="L739" s="4"/>
    </row>
    <row r="740" spans="1:12" x14ac:dyDescent="0.25">
      <c r="A740" s="2" t="str">
        <f>HYPERLINK("https://www.list-org.com/company/14045277","https://www.list-org.com/company/14045277")</f>
        <v>https://www.list-org.com/company/14045277</v>
      </c>
      <c r="B740" s="3" t="s">
        <v>3567</v>
      </c>
      <c r="C740" s="3" t="s">
        <v>3568</v>
      </c>
      <c r="D740" s="3" t="s">
        <v>14</v>
      </c>
      <c r="E740" s="3" t="s">
        <v>3569</v>
      </c>
      <c r="F740" s="3" t="s">
        <v>3570</v>
      </c>
      <c r="G740" s="3"/>
      <c r="H740" s="3" t="s">
        <v>3571</v>
      </c>
      <c r="I740" s="4"/>
      <c r="J740" s="4"/>
      <c r="K740" s="4"/>
      <c r="L740" s="4"/>
    </row>
    <row r="741" spans="1:12" x14ac:dyDescent="0.25">
      <c r="A741" s="2" t="str">
        <f>HYPERLINK("https://www.list-org.com/company/14045278","https://www.list-org.com/company/14045278")</f>
        <v>https://www.list-org.com/company/14045278</v>
      </c>
      <c r="B741" s="3" t="s">
        <v>3572</v>
      </c>
      <c r="C741" s="3" t="s">
        <v>3573</v>
      </c>
      <c r="D741" s="3" t="s">
        <v>14</v>
      </c>
      <c r="E741" s="3" t="s">
        <v>3574</v>
      </c>
      <c r="F741" s="3" t="s">
        <v>3575</v>
      </c>
      <c r="G741" s="3"/>
      <c r="H741" s="3" t="s">
        <v>3576</v>
      </c>
      <c r="I741" s="4"/>
      <c r="J741" s="4"/>
      <c r="K741" s="4"/>
      <c r="L741" s="4"/>
    </row>
    <row r="742" spans="1:12" x14ac:dyDescent="0.25">
      <c r="A742" s="2" t="str">
        <f>HYPERLINK("https://www.list-org.com/company/14045279","https://www.list-org.com/company/14045279")</f>
        <v>https://www.list-org.com/company/14045279</v>
      </c>
      <c r="B742" s="3" t="s">
        <v>3577</v>
      </c>
      <c r="C742" s="3" t="s">
        <v>3578</v>
      </c>
      <c r="D742" s="3" t="s">
        <v>14</v>
      </c>
      <c r="E742" s="3" t="s">
        <v>3579</v>
      </c>
      <c r="F742" s="3" t="s">
        <v>3580</v>
      </c>
      <c r="G742" s="3"/>
      <c r="H742" s="3" t="s">
        <v>2974</v>
      </c>
      <c r="I742" s="4"/>
      <c r="J742" s="4"/>
      <c r="K742" s="4"/>
      <c r="L742" s="4"/>
    </row>
    <row r="743" spans="1:12" x14ac:dyDescent="0.25">
      <c r="A743" s="2" t="str">
        <f>HYPERLINK("https://www.list-org.com/company/14045280","https://www.list-org.com/company/14045280")</f>
        <v>https://www.list-org.com/company/14045280</v>
      </c>
      <c r="B743" s="3" t="s">
        <v>3581</v>
      </c>
      <c r="C743" s="3" t="s">
        <v>3582</v>
      </c>
      <c r="D743" s="3" t="s">
        <v>14</v>
      </c>
      <c r="E743" s="3" t="s">
        <v>3583</v>
      </c>
      <c r="F743" s="3" t="s">
        <v>3584</v>
      </c>
      <c r="G743" s="3"/>
      <c r="H743" s="3" t="s">
        <v>3585</v>
      </c>
      <c r="I743" s="4"/>
      <c r="J743" s="4"/>
      <c r="K743" s="4"/>
      <c r="L743" s="4"/>
    </row>
    <row r="744" spans="1:12" x14ac:dyDescent="0.25">
      <c r="A744" s="2" t="str">
        <f>HYPERLINK("https://www.list-org.com/company/14045886","https://www.list-org.com/company/14045886")</f>
        <v>https://www.list-org.com/company/14045886</v>
      </c>
      <c r="B744" s="3" t="s">
        <v>3586</v>
      </c>
      <c r="C744" s="3" t="s">
        <v>3587</v>
      </c>
      <c r="D744" s="3" t="s">
        <v>14</v>
      </c>
      <c r="E744" s="3" t="s">
        <v>3588</v>
      </c>
      <c r="F744" s="3" t="s">
        <v>3589</v>
      </c>
      <c r="G744" s="3"/>
      <c r="H744" s="3" t="s">
        <v>3590</v>
      </c>
      <c r="I744" s="4"/>
      <c r="J744" s="4"/>
      <c r="K744" s="4"/>
      <c r="L744" s="4"/>
    </row>
    <row r="745" spans="1:12" x14ac:dyDescent="0.25">
      <c r="A745" s="2" t="str">
        <f>HYPERLINK("https://www.list-org.com/company/14046273","https://www.list-org.com/company/14046273")</f>
        <v>https://www.list-org.com/company/14046273</v>
      </c>
      <c r="B745" s="3" t="s">
        <v>3591</v>
      </c>
      <c r="C745" s="3" t="s">
        <v>3592</v>
      </c>
      <c r="D745" s="3" t="s">
        <v>14</v>
      </c>
      <c r="E745" s="3" t="s">
        <v>3593</v>
      </c>
      <c r="F745" s="3" t="s">
        <v>3594</v>
      </c>
      <c r="G745" s="3"/>
      <c r="H745" s="3" t="s">
        <v>3595</v>
      </c>
      <c r="I745" s="4"/>
      <c r="J745" s="4"/>
      <c r="K745" s="4"/>
      <c r="L745" s="4"/>
    </row>
    <row r="746" spans="1:12" x14ac:dyDescent="0.25">
      <c r="A746" s="2" t="str">
        <f>HYPERLINK("https://www.list-org.com/company/14046495","https://www.list-org.com/company/14046495")</f>
        <v>https://www.list-org.com/company/14046495</v>
      </c>
      <c r="B746" s="3" t="s">
        <v>3596</v>
      </c>
      <c r="C746" s="3" t="s">
        <v>3597</v>
      </c>
      <c r="D746" s="3" t="s">
        <v>14</v>
      </c>
      <c r="E746" s="3" t="s">
        <v>3598</v>
      </c>
      <c r="F746" s="3" t="s">
        <v>3599</v>
      </c>
      <c r="G746" s="3"/>
      <c r="H746" s="3" t="s">
        <v>3600</v>
      </c>
      <c r="I746" s="4"/>
      <c r="J746" s="4"/>
      <c r="K746" s="4"/>
      <c r="L746" s="4"/>
    </row>
    <row r="747" spans="1:12" x14ac:dyDescent="0.25">
      <c r="A747" s="2" t="str">
        <f>HYPERLINK("https://www.list-org.com/company/14046496","https://www.list-org.com/company/14046496")</f>
        <v>https://www.list-org.com/company/14046496</v>
      </c>
      <c r="B747" s="3" t="s">
        <v>3601</v>
      </c>
      <c r="C747" s="3" t="s">
        <v>3602</v>
      </c>
      <c r="D747" s="3" t="s">
        <v>14</v>
      </c>
      <c r="E747" s="3" t="s">
        <v>3603</v>
      </c>
      <c r="F747" s="3" t="s">
        <v>3604</v>
      </c>
      <c r="G747" s="3"/>
      <c r="H747" s="3" t="s">
        <v>3605</v>
      </c>
      <c r="I747" s="4"/>
      <c r="J747" s="4"/>
      <c r="K747" s="4"/>
      <c r="L747" s="4"/>
    </row>
    <row r="748" spans="1:12" x14ac:dyDescent="0.25">
      <c r="A748" s="2" t="str">
        <f>HYPERLINK("https://www.list-org.com/company/14046497","https://www.list-org.com/company/14046497")</f>
        <v>https://www.list-org.com/company/14046497</v>
      </c>
      <c r="B748" s="3" t="s">
        <v>3606</v>
      </c>
      <c r="C748" s="3" t="s">
        <v>3607</v>
      </c>
      <c r="D748" s="3" t="s">
        <v>14</v>
      </c>
      <c r="E748" s="3" t="s">
        <v>3608</v>
      </c>
      <c r="F748" s="3" t="s">
        <v>3609</v>
      </c>
      <c r="G748" s="3"/>
      <c r="H748" s="3" t="s">
        <v>3610</v>
      </c>
      <c r="I748" s="4"/>
      <c r="J748" s="4"/>
      <c r="K748" s="4"/>
      <c r="L748" s="4"/>
    </row>
    <row r="749" spans="1:12" x14ac:dyDescent="0.25">
      <c r="A749" s="2" t="str">
        <f>HYPERLINK("https://www.list-org.com/company/14046498","https://www.list-org.com/company/14046498")</f>
        <v>https://www.list-org.com/company/14046498</v>
      </c>
      <c r="B749" s="3" t="s">
        <v>3611</v>
      </c>
      <c r="C749" s="3" t="s">
        <v>3612</v>
      </c>
      <c r="D749" s="3" t="s">
        <v>14</v>
      </c>
      <c r="E749" s="3" t="s">
        <v>3613</v>
      </c>
      <c r="F749" s="3" t="s">
        <v>3614</v>
      </c>
      <c r="G749" s="3"/>
      <c r="H749" s="3" t="s">
        <v>3615</v>
      </c>
      <c r="I749" s="4"/>
      <c r="J749" s="4"/>
      <c r="K749" s="4"/>
      <c r="L749" s="4"/>
    </row>
    <row r="750" spans="1:12" x14ac:dyDescent="0.25">
      <c r="A750" s="2" t="str">
        <f>HYPERLINK("https://www.list-org.com/company/14046499","https://www.list-org.com/company/14046499")</f>
        <v>https://www.list-org.com/company/14046499</v>
      </c>
      <c r="B750" s="3" t="s">
        <v>3616</v>
      </c>
      <c r="C750" s="3" t="s">
        <v>3617</v>
      </c>
      <c r="D750" s="3" t="s">
        <v>14</v>
      </c>
      <c r="E750" s="3" t="s">
        <v>3618</v>
      </c>
      <c r="F750" s="3" t="s">
        <v>3619</v>
      </c>
      <c r="G750" s="3"/>
      <c r="H750" s="3" t="s">
        <v>3620</v>
      </c>
      <c r="I750" s="4"/>
      <c r="J750" s="4"/>
      <c r="K750" s="4"/>
      <c r="L750" s="4"/>
    </row>
    <row r="751" spans="1:12" x14ac:dyDescent="0.25">
      <c r="A751" s="2" t="str">
        <f>HYPERLINK("https://www.list-org.com/company/14046500","https://www.list-org.com/company/14046500")</f>
        <v>https://www.list-org.com/company/14046500</v>
      </c>
      <c r="B751" s="3" t="s">
        <v>3621</v>
      </c>
      <c r="C751" s="3" t="s">
        <v>3622</v>
      </c>
      <c r="D751" s="3" t="s">
        <v>14</v>
      </c>
      <c r="E751" s="3" t="s">
        <v>3623</v>
      </c>
      <c r="F751" s="3" t="s">
        <v>3624</v>
      </c>
      <c r="G751" s="3"/>
      <c r="H751" s="3" t="s">
        <v>3625</v>
      </c>
      <c r="I751" s="4"/>
      <c r="J751" s="4"/>
      <c r="K751" s="4"/>
      <c r="L751" s="4"/>
    </row>
    <row r="752" spans="1:12" x14ac:dyDescent="0.25">
      <c r="A752" s="2" t="str">
        <f>HYPERLINK("https://www.list-org.com/company/14046672","https://www.list-org.com/company/14046672")</f>
        <v>https://www.list-org.com/company/14046672</v>
      </c>
      <c r="B752" s="3" t="s">
        <v>3626</v>
      </c>
      <c r="C752" s="3" t="s">
        <v>3627</v>
      </c>
      <c r="D752" s="3" t="s">
        <v>14</v>
      </c>
      <c r="E752" s="3" t="s">
        <v>3628</v>
      </c>
      <c r="F752" s="3" t="s">
        <v>3629</v>
      </c>
      <c r="G752" s="3"/>
      <c r="H752" s="3" t="s">
        <v>3630</v>
      </c>
      <c r="I752" s="4"/>
      <c r="J752" s="4"/>
      <c r="K752" s="4"/>
      <c r="L752" s="4"/>
    </row>
    <row r="753" spans="1:12" x14ac:dyDescent="0.25">
      <c r="A753" s="2" t="str">
        <f>HYPERLINK("https://www.list-org.com/company/14046820","https://www.list-org.com/company/14046820")</f>
        <v>https://www.list-org.com/company/14046820</v>
      </c>
      <c r="B753" s="3" t="s">
        <v>3631</v>
      </c>
      <c r="C753" s="3" t="s">
        <v>3632</v>
      </c>
      <c r="D753" s="3" t="s">
        <v>14</v>
      </c>
      <c r="E753" s="3" t="s">
        <v>3633</v>
      </c>
      <c r="F753" s="3" t="s">
        <v>3634</v>
      </c>
      <c r="G753" s="3"/>
      <c r="H753" s="3" t="s">
        <v>3635</v>
      </c>
      <c r="I753" s="4"/>
      <c r="J753" s="4"/>
      <c r="K753" s="4"/>
      <c r="L753" s="4"/>
    </row>
    <row r="754" spans="1:12" x14ac:dyDescent="0.25">
      <c r="A754" s="2" t="str">
        <f>HYPERLINK("https://www.list-org.com/company/14047172","https://www.list-org.com/company/14047172")</f>
        <v>https://www.list-org.com/company/14047172</v>
      </c>
      <c r="B754" s="3" t="s">
        <v>3636</v>
      </c>
      <c r="C754" s="3" t="s">
        <v>3637</v>
      </c>
      <c r="D754" s="3" t="s">
        <v>14</v>
      </c>
      <c r="E754" s="3" t="s">
        <v>3638</v>
      </c>
      <c r="F754" s="3" t="s">
        <v>3639</v>
      </c>
      <c r="G754" s="3"/>
      <c r="H754" s="3" t="s">
        <v>483</v>
      </c>
      <c r="I754" s="4"/>
      <c r="J754" s="4"/>
      <c r="K754" s="4"/>
      <c r="L754" s="4"/>
    </row>
    <row r="755" spans="1:12" x14ac:dyDescent="0.25">
      <c r="A755" s="2" t="str">
        <f>HYPERLINK("https://www.list-org.com/company/14047229","https://www.list-org.com/company/14047229")</f>
        <v>https://www.list-org.com/company/14047229</v>
      </c>
      <c r="B755" s="3" t="s">
        <v>3640</v>
      </c>
      <c r="C755" s="3" t="s">
        <v>3641</v>
      </c>
      <c r="D755" s="3" t="s">
        <v>14</v>
      </c>
      <c r="E755" s="3" t="s">
        <v>3642</v>
      </c>
      <c r="F755" s="3" t="s">
        <v>3643</v>
      </c>
      <c r="G755" s="3"/>
      <c r="H755" s="3" t="s">
        <v>3644</v>
      </c>
      <c r="I755" s="4"/>
      <c r="J755" s="4"/>
      <c r="K755" s="4"/>
      <c r="L755" s="4"/>
    </row>
    <row r="756" spans="1:12" x14ac:dyDescent="0.25">
      <c r="A756" s="2" t="str">
        <f>HYPERLINK("https://www.list-org.com/company/14047262","https://www.list-org.com/company/14047262")</f>
        <v>https://www.list-org.com/company/14047262</v>
      </c>
      <c r="B756" s="3" t="s">
        <v>3645</v>
      </c>
      <c r="C756" s="3" t="s">
        <v>3646</v>
      </c>
      <c r="D756" s="3" t="s">
        <v>14</v>
      </c>
      <c r="E756" s="3" t="s">
        <v>3647</v>
      </c>
      <c r="F756" s="3" t="s">
        <v>3648</v>
      </c>
      <c r="G756" s="3"/>
      <c r="H756" s="3" t="s">
        <v>3649</v>
      </c>
      <c r="I756" s="4"/>
      <c r="J756" s="4"/>
      <c r="K756" s="4"/>
      <c r="L756" s="4"/>
    </row>
    <row r="757" spans="1:12" x14ac:dyDescent="0.25">
      <c r="A757" s="2" t="str">
        <f>HYPERLINK("https://www.list-org.com/company/14047421","https://www.list-org.com/company/14047421")</f>
        <v>https://www.list-org.com/company/14047421</v>
      </c>
      <c r="B757" s="3" t="s">
        <v>3650</v>
      </c>
      <c r="C757" s="3" t="s">
        <v>3651</v>
      </c>
      <c r="D757" s="3" t="s">
        <v>14</v>
      </c>
      <c r="E757" s="3" t="s">
        <v>3652</v>
      </c>
      <c r="F757" s="3" t="s">
        <v>3653</v>
      </c>
      <c r="G757" s="3"/>
      <c r="H757" s="3" t="s">
        <v>3654</v>
      </c>
      <c r="I757" s="4"/>
      <c r="J757" s="4"/>
      <c r="K757" s="4"/>
      <c r="L757" s="4"/>
    </row>
    <row r="758" spans="1:12" x14ac:dyDescent="0.25">
      <c r="A758" s="2" t="str">
        <f>HYPERLINK("https://www.list-org.com/company/14047689","https://www.list-org.com/company/14047689")</f>
        <v>https://www.list-org.com/company/14047689</v>
      </c>
      <c r="B758" s="3" t="s">
        <v>3655</v>
      </c>
      <c r="C758" s="3" t="s">
        <v>3656</v>
      </c>
      <c r="D758" s="3" t="s">
        <v>14</v>
      </c>
      <c r="E758" s="3" t="s">
        <v>3657</v>
      </c>
      <c r="F758" s="3" t="s">
        <v>3658</v>
      </c>
      <c r="G758" s="3"/>
      <c r="H758" s="3" t="s">
        <v>3659</v>
      </c>
      <c r="I758" s="4"/>
      <c r="J758" s="4"/>
      <c r="K758" s="4"/>
      <c r="L758" s="4"/>
    </row>
    <row r="759" spans="1:12" x14ac:dyDescent="0.25">
      <c r="A759" s="2" t="str">
        <f>HYPERLINK("https://www.list-org.com/company/14047719","https://www.list-org.com/company/14047719")</f>
        <v>https://www.list-org.com/company/14047719</v>
      </c>
      <c r="B759" s="3" t="s">
        <v>3660</v>
      </c>
      <c r="C759" s="3" t="s">
        <v>3661</v>
      </c>
      <c r="D759" s="3" t="s">
        <v>14</v>
      </c>
      <c r="E759" s="3" t="s">
        <v>3662</v>
      </c>
      <c r="F759" s="3" t="s">
        <v>3663</v>
      </c>
      <c r="G759" s="3"/>
      <c r="H759" s="3" t="s">
        <v>3664</v>
      </c>
      <c r="I759" s="4"/>
      <c r="J759" s="4"/>
      <c r="K759" s="4"/>
      <c r="L759" s="4"/>
    </row>
    <row r="760" spans="1:12" x14ac:dyDescent="0.25">
      <c r="A760" s="2" t="str">
        <f>HYPERLINK("https://www.list-org.com/company/14049341","https://www.list-org.com/company/14049341")</f>
        <v>https://www.list-org.com/company/14049341</v>
      </c>
      <c r="B760" s="3" t="s">
        <v>3665</v>
      </c>
      <c r="C760" s="3" t="s">
        <v>3666</v>
      </c>
      <c r="D760" s="3" t="s">
        <v>14</v>
      </c>
      <c r="E760" s="3" t="s">
        <v>3667</v>
      </c>
      <c r="F760" s="3" t="s">
        <v>3668</v>
      </c>
      <c r="G760" s="3"/>
      <c r="H760" s="3" t="s">
        <v>3669</v>
      </c>
      <c r="I760" s="4"/>
      <c r="J760" s="4"/>
      <c r="K760" s="4"/>
      <c r="L760" s="4"/>
    </row>
    <row r="761" spans="1:12" x14ac:dyDescent="0.25">
      <c r="A761" s="2" t="str">
        <f>HYPERLINK("https://www.list-org.com/company/14049847","https://www.list-org.com/company/14049847")</f>
        <v>https://www.list-org.com/company/14049847</v>
      </c>
      <c r="B761" s="3" t="s">
        <v>3670</v>
      </c>
      <c r="C761" s="3" t="s">
        <v>3671</v>
      </c>
      <c r="D761" s="3" t="s">
        <v>14</v>
      </c>
      <c r="E761" s="3" t="s">
        <v>3672</v>
      </c>
      <c r="F761" s="3" t="s">
        <v>3673</v>
      </c>
      <c r="G761" s="3"/>
      <c r="H761" s="3" t="s">
        <v>3674</v>
      </c>
      <c r="I761" s="4"/>
      <c r="J761" s="4"/>
      <c r="K761" s="4"/>
      <c r="L761" s="4"/>
    </row>
    <row r="762" spans="1:12" x14ac:dyDescent="0.25">
      <c r="A762" s="2" t="str">
        <f>HYPERLINK("https://www.list-org.com/company/14049955","https://www.list-org.com/company/14049955")</f>
        <v>https://www.list-org.com/company/14049955</v>
      </c>
      <c r="B762" s="3" t="s">
        <v>3675</v>
      </c>
      <c r="C762" s="3" t="s">
        <v>3676</v>
      </c>
      <c r="D762" s="3" t="s">
        <v>14</v>
      </c>
      <c r="E762" s="3" t="s">
        <v>3677</v>
      </c>
      <c r="F762" s="3" t="s">
        <v>3678</v>
      </c>
      <c r="G762" s="3"/>
      <c r="H762" s="3" t="s">
        <v>3679</v>
      </c>
      <c r="I762" s="4"/>
      <c r="J762" s="4"/>
      <c r="K762" s="4"/>
      <c r="L762" s="4"/>
    </row>
    <row r="763" spans="1:12" x14ac:dyDescent="0.25">
      <c r="A763" s="2" t="str">
        <f>HYPERLINK("https://www.list-org.com/company/14050363","https://www.list-org.com/company/14050363")</f>
        <v>https://www.list-org.com/company/14050363</v>
      </c>
      <c r="B763" s="3" t="s">
        <v>3680</v>
      </c>
      <c r="C763" s="3" t="s">
        <v>3681</v>
      </c>
      <c r="D763" s="3" t="s">
        <v>14</v>
      </c>
      <c r="E763" s="3" t="s">
        <v>3682</v>
      </c>
      <c r="F763" s="3" t="s">
        <v>3683</v>
      </c>
      <c r="G763" s="3"/>
      <c r="H763" s="3" t="s">
        <v>3684</v>
      </c>
      <c r="I763" s="4"/>
      <c r="J763" s="4"/>
      <c r="K763" s="4"/>
      <c r="L763" s="4"/>
    </row>
    <row r="764" spans="1:12" x14ac:dyDescent="0.25">
      <c r="A764" s="2" t="str">
        <f>HYPERLINK("https://www.list-org.com/company/14050543","https://www.list-org.com/company/14050543")</f>
        <v>https://www.list-org.com/company/14050543</v>
      </c>
      <c r="B764" s="3" t="s">
        <v>3685</v>
      </c>
      <c r="C764" s="3" t="s">
        <v>3686</v>
      </c>
      <c r="D764" s="3" t="s">
        <v>14</v>
      </c>
      <c r="E764" s="3" t="s">
        <v>3687</v>
      </c>
      <c r="F764" s="3" t="s">
        <v>3688</v>
      </c>
      <c r="G764" s="3"/>
      <c r="H764" s="3" t="s">
        <v>3689</v>
      </c>
      <c r="I764" s="4"/>
      <c r="J764" s="4"/>
      <c r="K764" s="4"/>
      <c r="L764" s="4"/>
    </row>
    <row r="765" spans="1:12" x14ac:dyDescent="0.25">
      <c r="A765" s="2" t="str">
        <f>HYPERLINK("https://www.list-org.com/company/14050837","https://www.list-org.com/company/14050837")</f>
        <v>https://www.list-org.com/company/14050837</v>
      </c>
      <c r="B765" s="3" t="s">
        <v>3690</v>
      </c>
      <c r="C765" s="3" t="s">
        <v>3691</v>
      </c>
      <c r="D765" s="3" t="s">
        <v>14</v>
      </c>
      <c r="E765" s="3" t="s">
        <v>3692</v>
      </c>
      <c r="F765" s="3" t="s">
        <v>3693</v>
      </c>
      <c r="G765" s="3"/>
      <c r="H765" s="3" t="s">
        <v>943</v>
      </c>
      <c r="I765" s="4"/>
      <c r="J765" s="4"/>
      <c r="K765" s="4"/>
      <c r="L765" s="4"/>
    </row>
    <row r="766" spans="1:12" x14ac:dyDescent="0.25">
      <c r="A766" s="2" t="str">
        <f>HYPERLINK("https://www.list-org.com/company/14051596","https://www.list-org.com/company/14051596")</f>
        <v>https://www.list-org.com/company/14051596</v>
      </c>
      <c r="B766" s="3" t="s">
        <v>3694</v>
      </c>
      <c r="C766" s="3" t="s">
        <v>3695</v>
      </c>
      <c r="D766" s="3" t="s">
        <v>14</v>
      </c>
      <c r="E766" s="3" t="s">
        <v>3696</v>
      </c>
      <c r="F766" s="3" t="s">
        <v>3697</v>
      </c>
      <c r="G766" s="3"/>
      <c r="H766" s="3" t="s">
        <v>3698</v>
      </c>
      <c r="I766" s="4"/>
      <c r="J766" s="4"/>
      <c r="K766" s="4"/>
      <c r="L766" s="4"/>
    </row>
    <row r="767" spans="1:12" x14ac:dyDescent="0.25">
      <c r="A767" s="2" t="str">
        <f>HYPERLINK("https://www.list-org.com/company/14052144","https://www.list-org.com/company/14052144")</f>
        <v>https://www.list-org.com/company/14052144</v>
      </c>
      <c r="B767" s="3" t="s">
        <v>3699</v>
      </c>
      <c r="C767" s="3" t="s">
        <v>3700</v>
      </c>
      <c r="D767" s="3" t="s">
        <v>14</v>
      </c>
      <c r="E767" s="3" t="s">
        <v>3701</v>
      </c>
      <c r="F767" s="3" t="s">
        <v>3702</v>
      </c>
      <c r="G767" s="3"/>
      <c r="H767" s="3" t="s">
        <v>948</v>
      </c>
      <c r="I767" s="4"/>
      <c r="J767" s="4"/>
      <c r="K767" s="4"/>
      <c r="L767" s="4"/>
    </row>
    <row r="768" spans="1:12" x14ac:dyDescent="0.25">
      <c r="A768" s="2" t="str">
        <f>HYPERLINK("https://www.list-org.com/company/14052343","https://www.list-org.com/company/14052343")</f>
        <v>https://www.list-org.com/company/14052343</v>
      </c>
      <c r="B768" s="3" t="s">
        <v>3703</v>
      </c>
      <c r="C768" s="3" t="s">
        <v>3704</v>
      </c>
      <c r="D768" s="3" t="s">
        <v>14</v>
      </c>
      <c r="E768" s="3" t="s">
        <v>3705</v>
      </c>
      <c r="F768" s="3" t="s">
        <v>3706</v>
      </c>
      <c r="G768" s="3"/>
      <c r="H768" s="3" t="s">
        <v>3707</v>
      </c>
      <c r="I768" s="4"/>
      <c r="J768" s="4"/>
      <c r="K768" s="4"/>
      <c r="L768" s="4"/>
    </row>
    <row r="769" spans="1:12" x14ac:dyDescent="0.25">
      <c r="A769" s="2" t="str">
        <f>HYPERLINK("https://www.list-org.com/company/14052564","https://www.list-org.com/company/14052564")</f>
        <v>https://www.list-org.com/company/14052564</v>
      </c>
      <c r="B769" s="3" t="s">
        <v>3708</v>
      </c>
      <c r="C769" s="3" t="s">
        <v>3709</v>
      </c>
      <c r="D769" s="3" t="s">
        <v>14</v>
      </c>
      <c r="E769" s="3" t="s">
        <v>3710</v>
      </c>
      <c r="F769" s="3" t="s">
        <v>3711</v>
      </c>
      <c r="G769" s="3"/>
      <c r="H769" s="3" t="s">
        <v>3712</v>
      </c>
      <c r="I769" s="4"/>
      <c r="J769" s="4"/>
      <c r="K769" s="4"/>
      <c r="L769" s="4"/>
    </row>
    <row r="770" spans="1:12" x14ac:dyDescent="0.25">
      <c r="A770" s="2" t="str">
        <f>HYPERLINK("https://www.list-org.com/company/14052601","https://www.list-org.com/company/14052601")</f>
        <v>https://www.list-org.com/company/14052601</v>
      </c>
      <c r="B770" s="3" t="s">
        <v>3713</v>
      </c>
      <c r="C770" s="3" t="s">
        <v>3714</v>
      </c>
      <c r="D770" s="3" t="s">
        <v>14</v>
      </c>
      <c r="E770" s="3" t="s">
        <v>3715</v>
      </c>
      <c r="F770" s="3" t="s">
        <v>3716</v>
      </c>
      <c r="G770" s="3"/>
      <c r="H770" s="3" t="s">
        <v>3717</v>
      </c>
      <c r="I770" s="4"/>
      <c r="J770" s="4"/>
      <c r="K770" s="4"/>
      <c r="L770" s="4"/>
    </row>
    <row r="771" spans="1:12" x14ac:dyDescent="0.25">
      <c r="A771" s="2" t="str">
        <f>HYPERLINK("https://www.list-org.com/company/14052771","https://www.list-org.com/company/14052771")</f>
        <v>https://www.list-org.com/company/14052771</v>
      </c>
      <c r="B771" s="3" t="s">
        <v>3718</v>
      </c>
      <c r="C771" s="3" t="s">
        <v>3719</v>
      </c>
      <c r="D771" s="3" t="s">
        <v>14</v>
      </c>
      <c r="E771" s="3" t="s">
        <v>3720</v>
      </c>
      <c r="F771" s="3" t="s">
        <v>3721</v>
      </c>
      <c r="G771" s="3"/>
      <c r="H771" s="3" t="s">
        <v>3722</v>
      </c>
      <c r="I771" s="4"/>
      <c r="J771" s="4"/>
      <c r="K771" s="4"/>
      <c r="L771" s="4"/>
    </row>
    <row r="772" spans="1:12" x14ac:dyDescent="0.25">
      <c r="A772" s="2" t="str">
        <f>HYPERLINK("https://www.list-org.com/company/14052981","https://www.list-org.com/company/14052981")</f>
        <v>https://www.list-org.com/company/14052981</v>
      </c>
      <c r="B772" s="3" t="s">
        <v>3723</v>
      </c>
      <c r="C772" s="3" t="s">
        <v>3724</v>
      </c>
      <c r="D772" s="3" t="s">
        <v>14</v>
      </c>
      <c r="E772" s="3" t="s">
        <v>3725</v>
      </c>
      <c r="F772" s="3" t="s">
        <v>3726</v>
      </c>
      <c r="G772" s="3"/>
      <c r="H772" s="3" t="s">
        <v>3654</v>
      </c>
      <c r="I772" s="4"/>
      <c r="J772" s="4"/>
      <c r="K772" s="4"/>
      <c r="L772" s="4"/>
    </row>
    <row r="773" spans="1:12" x14ac:dyDescent="0.25">
      <c r="A773" s="2" t="str">
        <f>HYPERLINK("https://www.list-org.com/company/14052985","https://www.list-org.com/company/14052985")</f>
        <v>https://www.list-org.com/company/14052985</v>
      </c>
      <c r="B773" s="3" t="s">
        <v>3727</v>
      </c>
      <c r="C773" s="3" t="s">
        <v>3728</v>
      </c>
      <c r="D773" s="3" t="s">
        <v>14</v>
      </c>
      <c r="E773" s="3" t="s">
        <v>3729</v>
      </c>
      <c r="F773" s="3" t="s">
        <v>3730</v>
      </c>
      <c r="G773" s="3"/>
      <c r="H773" s="3" t="s">
        <v>3731</v>
      </c>
      <c r="I773" s="4"/>
      <c r="J773" s="4"/>
      <c r="K773" s="4"/>
      <c r="L773" s="4"/>
    </row>
    <row r="774" spans="1:12" x14ac:dyDescent="0.25">
      <c r="A774" s="2" t="str">
        <f>HYPERLINK("https://www.list-org.com/company/14053111","https://www.list-org.com/company/14053111")</f>
        <v>https://www.list-org.com/company/14053111</v>
      </c>
      <c r="B774" s="3" t="s">
        <v>3732</v>
      </c>
      <c r="C774" s="3" t="s">
        <v>3733</v>
      </c>
      <c r="D774" s="3" t="s">
        <v>14</v>
      </c>
      <c r="E774" s="3" t="s">
        <v>3734</v>
      </c>
      <c r="F774" s="3" t="s">
        <v>3735</v>
      </c>
      <c r="G774" s="3"/>
      <c r="H774" s="3" t="s">
        <v>3736</v>
      </c>
      <c r="I774" s="4"/>
      <c r="J774" s="4"/>
      <c r="K774" s="4"/>
      <c r="L774" s="4"/>
    </row>
    <row r="775" spans="1:12" x14ac:dyDescent="0.25">
      <c r="A775" s="2" t="str">
        <f>HYPERLINK("https://www.list-org.com/company/14053696","https://www.list-org.com/company/14053696")</f>
        <v>https://www.list-org.com/company/14053696</v>
      </c>
      <c r="B775" s="3" t="s">
        <v>3737</v>
      </c>
      <c r="C775" s="3" t="s">
        <v>3738</v>
      </c>
      <c r="D775" s="3" t="s">
        <v>14</v>
      </c>
      <c r="E775" s="3" t="s">
        <v>3739</v>
      </c>
      <c r="F775" s="3" t="s">
        <v>3740</v>
      </c>
      <c r="G775" s="3"/>
      <c r="H775" s="3" t="s">
        <v>2080</v>
      </c>
      <c r="I775" s="4"/>
      <c r="J775" s="4"/>
      <c r="K775" s="4"/>
      <c r="L775" s="4"/>
    </row>
    <row r="776" spans="1:12" x14ac:dyDescent="0.25">
      <c r="A776" s="2" t="str">
        <f>HYPERLINK("https://www.list-org.com/company/14054955","https://www.list-org.com/company/14054955")</f>
        <v>https://www.list-org.com/company/14054955</v>
      </c>
      <c r="B776" s="3" t="s">
        <v>3741</v>
      </c>
      <c r="C776" s="3" t="s">
        <v>3742</v>
      </c>
      <c r="D776" s="3" t="s">
        <v>14</v>
      </c>
      <c r="E776" s="3" t="s">
        <v>3743</v>
      </c>
      <c r="F776" s="3" t="s">
        <v>3744</v>
      </c>
      <c r="G776" s="3"/>
      <c r="H776" s="3" t="s">
        <v>3745</v>
      </c>
      <c r="I776" s="4"/>
      <c r="J776" s="4"/>
      <c r="K776" s="4"/>
      <c r="L776" s="4"/>
    </row>
    <row r="777" spans="1:12" x14ac:dyDescent="0.25">
      <c r="A777" s="2" t="str">
        <f>HYPERLINK("https://www.list-org.com/company/14055308","https://www.list-org.com/company/14055308")</f>
        <v>https://www.list-org.com/company/14055308</v>
      </c>
      <c r="B777" s="3" t="s">
        <v>3746</v>
      </c>
      <c r="C777" s="3" t="s">
        <v>3747</v>
      </c>
      <c r="D777" s="3" t="s">
        <v>14</v>
      </c>
      <c r="E777" s="3" t="s">
        <v>3748</v>
      </c>
      <c r="F777" s="3" t="s">
        <v>3749</v>
      </c>
      <c r="G777" s="3"/>
      <c r="H777" s="3" t="s">
        <v>1198</v>
      </c>
      <c r="I777" s="4"/>
      <c r="J777" s="4"/>
      <c r="K777" s="4"/>
      <c r="L777" s="4"/>
    </row>
    <row r="778" spans="1:12" x14ac:dyDescent="0.25">
      <c r="A778" s="2" t="str">
        <f>HYPERLINK("https://www.list-org.com/company/14056022","https://www.list-org.com/company/14056022")</f>
        <v>https://www.list-org.com/company/14056022</v>
      </c>
      <c r="B778" s="3" t="s">
        <v>3750</v>
      </c>
      <c r="C778" s="3" t="s">
        <v>3751</v>
      </c>
      <c r="D778" s="3" t="s">
        <v>14</v>
      </c>
      <c r="E778" s="3" t="s">
        <v>3752</v>
      </c>
      <c r="F778" s="3" t="s">
        <v>3753</v>
      </c>
      <c r="G778" s="3"/>
      <c r="H778" s="3" t="s">
        <v>3754</v>
      </c>
      <c r="I778" s="4"/>
      <c r="J778" s="4"/>
      <c r="K778" s="4"/>
      <c r="L778" s="4"/>
    </row>
    <row r="779" spans="1:12" x14ac:dyDescent="0.25">
      <c r="A779" s="2" t="str">
        <f>HYPERLINK("https://www.list-org.com/company/14056296","https://www.list-org.com/company/14056296")</f>
        <v>https://www.list-org.com/company/14056296</v>
      </c>
      <c r="B779" s="3" t="s">
        <v>3755</v>
      </c>
      <c r="C779" s="3" t="s">
        <v>3756</v>
      </c>
      <c r="D779" s="3" t="s">
        <v>14</v>
      </c>
      <c r="E779" s="3" t="s">
        <v>3757</v>
      </c>
      <c r="F779" s="3" t="s">
        <v>3758</v>
      </c>
      <c r="G779" s="3"/>
      <c r="H779" s="3" t="s">
        <v>1113</v>
      </c>
      <c r="I779" s="4"/>
      <c r="J779" s="4"/>
      <c r="K779" s="4"/>
      <c r="L779" s="4"/>
    </row>
    <row r="780" spans="1:12" x14ac:dyDescent="0.25">
      <c r="A780" s="2" t="str">
        <f>HYPERLINK("https://www.list-org.com/company/14056342","https://www.list-org.com/company/14056342")</f>
        <v>https://www.list-org.com/company/14056342</v>
      </c>
      <c r="B780" s="3" t="s">
        <v>3759</v>
      </c>
      <c r="C780" s="3" t="s">
        <v>3760</v>
      </c>
      <c r="D780" s="3" t="s">
        <v>14</v>
      </c>
      <c r="E780" s="3" t="s">
        <v>3761</v>
      </c>
      <c r="F780" s="3" t="s">
        <v>3762</v>
      </c>
      <c r="G780" s="3"/>
      <c r="H780" s="3" t="s">
        <v>948</v>
      </c>
      <c r="I780" s="4"/>
      <c r="J780" s="4"/>
      <c r="K780" s="4"/>
      <c r="L780" s="4"/>
    </row>
    <row r="781" spans="1:12" x14ac:dyDescent="0.25">
      <c r="A781" s="2" t="str">
        <f>HYPERLINK("https://www.list-org.com/company/14057045","https://www.list-org.com/company/14057045")</f>
        <v>https://www.list-org.com/company/14057045</v>
      </c>
      <c r="B781" s="3" t="s">
        <v>3763</v>
      </c>
      <c r="C781" s="3" t="s">
        <v>3764</v>
      </c>
      <c r="D781" s="3" t="s">
        <v>14</v>
      </c>
      <c r="E781" s="3" t="s">
        <v>3765</v>
      </c>
      <c r="F781" s="3" t="s">
        <v>3766</v>
      </c>
      <c r="G781" s="3"/>
      <c r="H781" s="3" t="s">
        <v>3767</v>
      </c>
      <c r="I781" s="4"/>
      <c r="J781" s="4"/>
      <c r="K781" s="4"/>
      <c r="L781" s="4"/>
    </row>
    <row r="782" spans="1:12" x14ac:dyDescent="0.25">
      <c r="A782" s="2" t="str">
        <f>HYPERLINK("https://www.list-org.com/company/14057347","https://www.list-org.com/company/14057347")</f>
        <v>https://www.list-org.com/company/14057347</v>
      </c>
      <c r="B782" s="3" t="s">
        <v>3768</v>
      </c>
      <c r="C782" s="3" t="s">
        <v>3769</v>
      </c>
      <c r="D782" s="3" t="s">
        <v>14</v>
      </c>
      <c r="E782" s="3" t="s">
        <v>3770</v>
      </c>
      <c r="F782" s="3" t="s">
        <v>3771</v>
      </c>
      <c r="G782" s="3"/>
      <c r="H782" s="3" t="s">
        <v>3772</v>
      </c>
      <c r="I782" s="4"/>
      <c r="J782" s="4"/>
      <c r="K782" s="4"/>
      <c r="L782" s="4"/>
    </row>
    <row r="783" spans="1:12" x14ac:dyDescent="0.25">
      <c r="A783" s="2" t="str">
        <f>HYPERLINK("https://www.list-org.com/company/14057429","https://www.list-org.com/company/14057429")</f>
        <v>https://www.list-org.com/company/14057429</v>
      </c>
      <c r="B783" s="3" t="s">
        <v>3773</v>
      </c>
      <c r="C783" s="3" t="s">
        <v>3774</v>
      </c>
      <c r="D783" s="3" t="s">
        <v>14</v>
      </c>
      <c r="E783" s="3" t="s">
        <v>3775</v>
      </c>
      <c r="F783" s="3" t="s">
        <v>3776</v>
      </c>
      <c r="G783" s="3"/>
      <c r="H783" s="3" t="s">
        <v>3777</v>
      </c>
      <c r="I783" s="4"/>
      <c r="J783" s="4"/>
      <c r="K783" s="4"/>
      <c r="L783" s="4"/>
    </row>
    <row r="784" spans="1:12" x14ac:dyDescent="0.25">
      <c r="A784" s="2" t="str">
        <f>HYPERLINK("https://www.list-org.com/company/14059367","https://www.list-org.com/company/14059367")</f>
        <v>https://www.list-org.com/company/14059367</v>
      </c>
      <c r="B784" s="3" t="s">
        <v>3778</v>
      </c>
      <c r="C784" s="3" t="s">
        <v>3779</v>
      </c>
      <c r="D784" s="3" t="s">
        <v>14</v>
      </c>
      <c r="E784" s="3" t="s">
        <v>3780</v>
      </c>
      <c r="F784" s="3" t="s">
        <v>3781</v>
      </c>
      <c r="G784" s="3"/>
      <c r="H784" s="3" t="s">
        <v>3782</v>
      </c>
      <c r="I784" s="4"/>
      <c r="J784" s="4"/>
      <c r="K784" s="4"/>
      <c r="L784" s="4"/>
    </row>
    <row r="785" spans="1:12" x14ac:dyDescent="0.25">
      <c r="A785" s="2" t="str">
        <f>HYPERLINK("https://www.list-org.com/company/14059766","https://www.list-org.com/company/14059766")</f>
        <v>https://www.list-org.com/company/14059766</v>
      </c>
      <c r="B785" s="3" t="s">
        <v>3783</v>
      </c>
      <c r="C785" s="3" t="s">
        <v>3784</v>
      </c>
      <c r="D785" s="3" t="s">
        <v>14</v>
      </c>
      <c r="E785" s="3" t="s">
        <v>3785</v>
      </c>
      <c r="F785" s="3" t="s">
        <v>3786</v>
      </c>
      <c r="G785" s="3"/>
      <c r="H785" s="3" t="s">
        <v>3610</v>
      </c>
      <c r="I785" s="4"/>
      <c r="J785" s="4"/>
      <c r="K785" s="4"/>
      <c r="L785" s="4"/>
    </row>
    <row r="786" spans="1:12" x14ac:dyDescent="0.25">
      <c r="A786" s="2" t="str">
        <f>HYPERLINK("https://www.list-org.com/company/14060140","https://www.list-org.com/company/14060140")</f>
        <v>https://www.list-org.com/company/14060140</v>
      </c>
      <c r="B786" s="3" t="s">
        <v>3787</v>
      </c>
      <c r="C786" s="3" t="s">
        <v>3788</v>
      </c>
      <c r="D786" s="3" t="s">
        <v>14</v>
      </c>
      <c r="E786" s="3" t="s">
        <v>3789</v>
      </c>
      <c r="F786" s="3" t="s">
        <v>3790</v>
      </c>
      <c r="G786" s="3"/>
      <c r="H786" s="3" t="s">
        <v>3349</v>
      </c>
      <c r="I786" s="4"/>
      <c r="J786" s="4"/>
      <c r="K786" s="4"/>
      <c r="L786" s="4"/>
    </row>
    <row r="787" spans="1:12" x14ac:dyDescent="0.25">
      <c r="A787" s="2" t="str">
        <f>HYPERLINK("https://www.list-org.com/company/14060402","https://www.list-org.com/company/14060402")</f>
        <v>https://www.list-org.com/company/14060402</v>
      </c>
      <c r="B787" s="3" t="s">
        <v>3791</v>
      </c>
      <c r="C787" s="3" t="s">
        <v>3792</v>
      </c>
      <c r="D787" s="3" t="s">
        <v>14</v>
      </c>
      <c r="E787" s="3" t="s">
        <v>3793</v>
      </c>
      <c r="F787" s="3" t="s">
        <v>3794</v>
      </c>
      <c r="G787" s="3"/>
      <c r="H787" s="3" t="s">
        <v>3795</v>
      </c>
      <c r="I787" s="4"/>
      <c r="J787" s="4"/>
      <c r="K787" s="4"/>
      <c r="L787" s="4"/>
    </row>
    <row r="788" spans="1:12" x14ac:dyDescent="0.25">
      <c r="A788" s="2" t="str">
        <f>HYPERLINK("https://www.list-org.com/company/14060545","https://www.list-org.com/company/14060545")</f>
        <v>https://www.list-org.com/company/14060545</v>
      </c>
      <c r="B788" s="3" t="s">
        <v>3796</v>
      </c>
      <c r="C788" s="3" t="s">
        <v>3797</v>
      </c>
      <c r="D788" s="3" t="s">
        <v>14</v>
      </c>
      <c r="E788" s="3" t="s">
        <v>3798</v>
      </c>
      <c r="F788" s="3" t="s">
        <v>3799</v>
      </c>
      <c r="G788" s="3"/>
      <c r="H788" s="3" t="s">
        <v>3800</v>
      </c>
      <c r="I788" s="4"/>
      <c r="J788" s="4"/>
      <c r="K788" s="4"/>
      <c r="L788" s="4"/>
    </row>
    <row r="789" spans="1:12" x14ac:dyDescent="0.25">
      <c r="A789" s="2" t="str">
        <f>HYPERLINK("https://www.list-org.com/company/14060963","https://www.list-org.com/company/14060963")</f>
        <v>https://www.list-org.com/company/14060963</v>
      </c>
      <c r="B789" s="3" t="s">
        <v>3801</v>
      </c>
      <c r="C789" s="3" t="s">
        <v>3802</v>
      </c>
      <c r="D789" s="3" t="s">
        <v>14</v>
      </c>
      <c r="E789" s="3" t="s">
        <v>3803</v>
      </c>
      <c r="F789" s="3" t="s">
        <v>3804</v>
      </c>
      <c r="G789" s="3"/>
      <c r="H789" s="3" t="s">
        <v>3805</v>
      </c>
      <c r="I789" s="4"/>
      <c r="J789" s="4"/>
      <c r="K789" s="4"/>
      <c r="L789" s="4"/>
    </row>
    <row r="790" spans="1:12" x14ac:dyDescent="0.25">
      <c r="A790" s="2" t="str">
        <f>HYPERLINK("https://www.list-org.com/company/14062071","https://www.list-org.com/company/14062071")</f>
        <v>https://www.list-org.com/company/14062071</v>
      </c>
      <c r="B790" s="3" t="s">
        <v>3806</v>
      </c>
      <c r="C790" s="3" t="s">
        <v>3807</v>
      </c>
      <c r="D790" s="3" t="s">
        <v>14</v>
      </c>
      <c r="E790" s="3" t="s">
        <v>3808</v>
      </c>
      <c r="F790" s="3" t="s">
        <v>3809</v>
      </c>
      <c r="G790" s="3"/>
      <c r="H790" s="3" t="s">
        <v>3810</v>
      </c>
      <c r="I790" s="4"/>
      <c r="J790" s="4"/>
      <c r="K790" s="4"/>
      <c r="L790" s="4"/>
    </row>
    <row r="791" spans="1:12" x14ac:dyDescent="0.25">
      <c r="A791" s="2" t="str">
        <f>HYPERLINK("https://www.list-org.com/company/14062221","https://www.list-org.com/company/14062221")</f>
        <v>https://www.list-org.com/company/14062221</v>
      </c>
      <c r="B791" s="3" t="s">
        <v>3811</v>
      </c>
      <c r="C791" s="3" t="s">
        <v>3812</v>
      </c>
      <c r="D791" s="3" t="s">
        <v>14</v>
      </c>
      <c r="E791" s="3" t="s">
        <v>3813</v>
      </c>
      <c r="F791" s="3" t="s">
        <v>3814</v>
      </c>
      <c r="G791" s="3"/>
      <c r="H791" s="3" t="s">
        <v>3815</v>
      </c>
      <c r="I791" s="4"/>
      <c r="J791" s="4"/>
      <c r="K791" s="4"/>
      <c r="L791" s="4"/>
    </row>
    <row r="792" spans="1:12" x14ac:dyDescent="0.25">
      <c r="A792" s="2" t="str">
        <f>HYPERLINK("https://www.list-org.com/company/14062288","https://www.list-org.com/company/14062288")</f>
        <v>https://www.list-org.com/company/14062288</v>
      </c>
      <c r="B792" s="3" t="s">
        <v>3816</v>
      </c>
      <c r="C792" s="3" t="s">
        <v>3817</v>
      </c>
      <c r="D792" s="3" t="s">
        <v>14</v>
      </c>
      <c r="E792" s="3" t="s">
        <v>3818</v>
      </c>
      <c r="F792" s="3" t="s">
        <v>3819</v>
      </c>
      <c r="G792" s="3"/>
      <c r="H792" s="3" t="s">
        <v>3820</v>
      </c>
      <c r="I792" s="4"/>
      <c r="J792" s="4"/>
      <c r="K792" s="4"/>
      <c r="L792" s="4"/>
    </row>
    <row r="793" spans="1:12" x14ac:dyDescent="0.25">
      <c r="A793" s="2" t="str">
        <f>HYPERLINK("https://www.list-org.com/company/14062389","https://www.list-org.com/company/14062389")</f>
        <v>https://www.list-org.com/company/14062389</v>
      </c>
      <c r="B793" s="3" t="s">
        <v>3821</v>
      </c>
      <c r="C793" s="3" t="s">
        <v>3822</v>
      </c>
      <c r="D793" s="3" t="s">
        <v>14</v>
      </c>
      <c r="E793" s="3" t="s">
        <v>3823</v>
      </c>
      <c r="F793" s="3" t="s">
        <v>3824</v>
      </c>
      <c r="G793" s="3"/>
      <c r="H793" s="3" t="s">
        <v>3825</v>
      </c>
      <c r="I793" s="4"/>
      <c r="J793" s="4"/>
      <c r="K793" s="4"/>
      <c r="L793" s="4"/>
    </row>
    <row r="794" spans="1:12" x14ac:dyDescent="0.25">
      <c r="A794" s="2" t="str">
        <f>HYPERLINK("https://www.list-org.com/company/14062390","https://www.list-org.com/company/14062390")</f>
        <v>https://www.list-org.com/company/14062390</v>
      </c>
      <c r="B794" s="3" t="s">
        <v>3826</v>
      </c>
      <c r="C794" s="3" t="s">
        <v>3827</v>
      </c>
      <c r="D794" s="3" t="s">
        <v>14</v>
      </c>
      <c r="E794" s="3" t="s">
        <v>3828</v>
      </c>
      <c r="F794" s="3" t="s">
        <v>3829</v>
      </c>
      <c r="G794" s="3"/>
      <c r="H794" s="3" t="s">
        <v>2559</v>
      </c>
      <c r="I794" s="4"/>
      <c r="J794" s="4"/>
      <c r="K794" s="4"/>
      <c r="L794" s="4"/>
    </row>
    <row r="795" spans="1:12" x14ac:dyDescent="0.25">
      <c r="A795" s="2" t="str">
        <f>HYPERLINK("https://www.list-org.com/company/14062398","https://www.list-org.com/company/14062398")</f>
        <v>https://www.list-org.com/company/14062398</v>
      </c>
      <c r="B795" s="3" t="s">
        <v>3830</v>
      </c>
      <c r="C795" s="3" t="s">
        <v>3831</v>
      </c>
      <c r="D795" s="3" t="s">
        <v>14</v>
      </c>
      <c r="E795" s="3" t="s">
        <v>3832</v>
      </c>
      <c r="F795" s="3" t="s">
        <v>3833</v>
      </c>
      <c r="G795" s="3"/>
      <c r="H795" s="3" t="s">
        <v>3834</v>
      </c>
      <c r="I795" s="4"/>
      <c r="J795" s="4"/>
      <c r="K795" s="4"/>
      <c r="L795" s="4"/>
    </row>
    <row r="796" spans="1:12" x14ac:dyDescent="0.25">
      <c r="A796" s="2" t="str">
        <f>HYPERLINK("https://www.list-org.com/company/14062401","https://www.list-org.com/company/14062401")</f>
        <v>https://www.list-org.com/company/14062401</v>
      </c>
      <c r="B796" s="3" t="s">
        <v>3835</v>
      </c>
      <c r="C796" s="3" t="s">
        <v>3836</v>
      </c>
      <c r="D796" s="3" t="s">
        <v>14</v>
      </c>
      <c r="E796" s="3" t="s">
        <v>3837</v>
      </c>
      <c r="F796" s="3" t="s">
        <v>3838</v>
      </c>
      <c r="G796" s="3"/>
      <c r="H796" s="3" t="s">
        <v>3839</v>
      </c>
      <c r="I796" s="4"/>
      <c r="J796" s="4"/>
      <c r="K796" s="4"/>
      <c r="L796" s="4"/>
    </row>
    <row r="797" spans="1:12" x14ac:dyDescent="0.25">
      <c r="A797" s="2" t="str">
        <f>HYPERLINK("https://www.list-org.com/company/14062404","https://www.list-org.com/company/14062404")</f>
        <v>https://www.list-org.com/company/14062404</v>
      </c>
      <c r="B797" s="3" t="s">
        <v>3840</v>
      </c>
      <c r="C797" s="3" t="s">
        <v>3841</v>
      </c>
      <c r="D797" s="3" t="s">
        <v>14</v>
      </c>
      <c r="E797" s="3" t="s">
        <v>3842</v>
      </c>
      <c r="F797" s="3" t="s">
        <v>3843</v>
      </c>
      <c r="G797" s="3"/>
      <c r="H797" s="3" t="s">
        <v>3844</v>
      </c>
      <c r="I797" s="4"/>
      <c r="J797" s="4"/>
      <c r="K797" s="4"/>
      <c r="L797" s="4"/>
    </row>
    <row r="798" spans="1:12" x14ac:dyDescent="0.25">
      <c r="A798" s="2" t="str">
        <f>HYPERLINK("https://www.list-org.com/company/14062405","https://www.list-org.com/company/14062405")</f>
        <v>https://www.list-org.com/company/14062405</v>
      </c>
      <c r="B798" s="3" t="s">
        <v>3845</v>
      </c>
      <c r="C798" s="3" t="s">
        <v>3846</v>
      </c>
      <c r="D798" s="3" t="s">
        <v>14</v>
      </c>
      <c r="E798" s="3" t="s">
        <v>3847</v>
      </c>
      <c r="F798" s="3" t="s">
        <v>3848</v>
      </c>
      <c r="G798" s="3"/>
      <c r="H798" s="3" t="s">
        <v>3849</v>
      </c>
      <c r="I798" s="4"/>
      <c r="J798" s="4"/>
      <c r="K798" s="4"/>
      <c r="L798" s="4"/>
    </row>
    <row r="799" spans="1:12" x14ac:dyDescent="0.25">
      <c r="A799" s="2" t="str">
        <f>HYPERLINK("https://www.list-org.com/company/14062406","https://www.list-org.com/company/14062406")</f>
        <v>https://www.list-org.com/company/14062406</v>
      </c>
      <c r="B799" s="3" t="s">
        <v>3850</v>
      </c>
      <c r="C799" s="3" t="s">
        <v>3851</v>
      </c>
      <c r="D799" s="3" t="s">
        <v>14</v>
      </c>
      <c r="E799" s="3" t="s">
        <v>3852</v>
      </c>
      <c r="F799" s="3" t="s">
        <v>3853</v>
      </c>
      <c r="G799" s="3"/>
      <c r="H799" s="3" t="s">
        <v>3854</v>
      </c>
      <c r="I799" s="4"/>
      <c r="J799" s="4"/>
      <c r="K799" s="4"/>
      <c r="L799" s="4"/>
    </row>
    <row r="800" spans="1:12" x14ac:dyDescent="0.25">
      <c r="A800" s="2" t="str">
        <f>HYPERLINK("https://www.list-org.com/company/14062413","https://www.list-org.com/company/14062413")</f>
        <v>https://www.list-org.com/company/14062413</v>
      </c>
      <c r="B800" s="3" t="s">
        <v>3855</v>
      </c>
      <c r="C800" s="3" t="s">
        <v>3856</v>
      </c>
      <c r="D800" s="3" t="s">
        <v>14</v>
      </c>
      <c r="E800" s="3" t="s">
        <v>3857</v>
      </c>
      <c r="F800" s="3" t="s">
        <v>3858</v>
      </c>
      <c r="G800" s="3"/>
      <c r="H800" s="3" t="s">
        <v>3825</v>
      </c>
      <c r="I800" s="4"/>
      <c r="J800" s="4"/>
      <c r="K800" s="4"/>
      <c r="L800" s="4"/>
    </row>
    <row r="801" spans="1:12" x14ac:dyDescent="0.25">
      <c r="A801" s="2" t="str">
        <f>HYPERLINK("https://www.list-org.com/company/14062415","https://www.list-org.com/company/14062415")</f>
        <v>https://www.list-org.com/company/14062415</v>
      </c>
      <c r="B801" s="3" t="s">
        <v>3859</v>
      </c>
      <c r="C801" s="3" t="s">
        <v>3860</v>
      </c>
      <c r="D801" s="3" t="s">
        <v>14</v>
      </c>
      <c r="E801" s="3" t="s">
        <v>3861</v>
      </c>
      <c r="F801" s="3" t="s">
        <v>3862</v>
      </c>
      <c r="G801" s="3"/>
      <c r="H801" s="3" t="s">
        <v>3863</v>
      </c>
      <c r="I801" s="4"/>
      <c r="J801" s="4"/>
      <c r="K801" s="4"/>
      <c r="L801" s="4"/>
    </row>
    <row r="802" spans="1:12" x14ac:dyDescent="0.25">
      <c r="A802" s="2" t="str">
        <f>HYPERLINK("https://www.list-org.com/company/14062417","https://www.list-org.com/company/14062417")</f>
        <v>https://www.list-org.com/company/14062417</v>
      </c>
      <c r="B802" s="3" t="s">
        <v>3864</v>
      </c>
      <c r="C802" s="3" t="s">
        <v>3865</v>
      </c>
      <c r="D802" s="3" t="s">
        <v>14</v>
      </c>
      <c r="E802" s="3" t="s">
        <v>3866</v>
      </c>
      <c r="F802" s="3" t="s">
        <v>3867</v>
      </c>
      <c r="G802" s="3"/>
      <c r="H802" s="3" t="s">
        <v>3868</v>
      </c>
      <c r="I802" s="4"/>
      <c r="J802" s="4"/>
      <c r="K802" s="4"/>
      <c r="L802" s="4"/>
    </row>
    <row r="803" spans="1:12" x14ac:dyDescent="0.25">
      <c r="A803" s="2" t="str">
        <f>HYPERLINK("https://www.list-org.com/company/14062428","https://www.list-org.com/company/14062428")</f>
        <v>https://www.list-org.com/company/14062428</v>
      </c>
      <c r="B803" s="3" t="s">
        <v>3869</v>
      </c>
      <c r="C803" s="3" t="s">
        <v>3870</v>
      </c>
      <c r="D803" s="3" t="s">
        <v>14</v>
      </c>
      <c r="E803" s="3" t="s">
        <v>3871</v>
      </c>
      <c r="F803" s="3" t="s">
        <v>3872</v>
      </c>
      <c r="G803" s="3"/>
      <c r="H803" s="3" t="s">
        <v>3825</v>
      </c>
      <c r="I803" s="4"/>
      <c r="J803" s="4"/>
      <c r="K803" s="4"/>
      <c r="L803" s="4"/>
    </row>
    <row r="804" spans="1:12" x14ac:dyDescent="0.25">
      <c r="A804" s="2" t="str">
        <f>HYPERLINK("https://www.list-org.com/company/14062433","https://www.list-org.com/company/14062433")</f>
        <v>https://www.list-org.com/company/14062433</v>
      </c>
      <c r="B804" s="3" t="s">
        <v>3873</v>
      </c>
      <c r="C804" s="3" t="s">
        <v>3874</v>
      </c>
      <c r="D804" s="3" t="s">
        <v>14</v>
      </c>
      <c r="E804" s="3" t="s">
        <v>3875</v>
      </c>
      <c r="F804" s="3" t="s">
        <v>3876</v>
      </c>
      <c r="G804" s="3"/>
      <c r="H804" s="3" t="s">
        <v>3877</v>
      </c>
      <c r="I804" s="4"/>
      <c r="J804" s="4"/>
      <c r="K804" s="4"/>
      <c r="L804" s="4"/>
    </row>
    <row r="805" spans="1:12" x14ac:dyDescent="0.25">
      <c r="A805" s="2" t="str">
        <f>HYPERLINK("https://www.list-org.com/company/14062438","https://www.list-org.com/company/14062438")</f>
        <v>https://www.list-org.com/company/14062438</v>
      </c>
      <c r="B805" s="3" t="s">
        <v>3878</v>
      </c>
      <c r="C805" s="3" t="s">
        <v>3879</v>
      </c>
      <c r="D805" s="3" t="s">
        <v>14</v>
      </c>
      <c r="E805" s="3" t="s">
        <v>3880</v>
      </c>
      <c r="F805" s="3" t="s">
        <v>3881</v>
      </c>
      <c r="G805" s="3"/>
      <c r="H805" s="3" t="s">
        <v>3882</v>
      </c>
      <c r="I805" s="4"/>
      <c r="J805" s="4"/>
      <c r="K805" s="4"/>
      <c r="L805" s="4"/>
    </row>
    <row r="806" spans="1:12" x14ac:dyDescent="0.25">
      <c r="A806" s="2" t="str">
        <f>HYPERLINK("https://www.list-org.com/company/14062443","https://www.list-org.com/company/14062443")</f>
        <v>https://www.list-org.com/company/14062443</v>
      </c>
      <c r="B806" s="3" t="s">
        <v>3883</v>
      </c>
      <c r="C806" s="3" t="s">
        <v>3884</v>
      </c>
      <c r="D806" s="3" t="s">
        <v>14</v>
      </c>
      <c r="E806" s="3" t="s">
        <v>3885</v>
      </c>
      <c r="F806" s="3" t="s">
        <v>3886</v>
      </c>
      <c r="G806" s="3"/>
      <c r="H806" s="3" t="s">
        <v>3887</v>
      </c>
      <c r="I806" s="4"/>
      <c r="J806" s="4"/>
      <c r="K806" s="4"/>
      <c r="L806" s="4"/>
    </row>
    <row r="807" spans="1:12" x14ac:dyDescent="0.25">
      <c r="A807" s="2" t="str">
        <f>HYPERLINK("https://www.list-org.com/company/14062447","https://www.list-org.com/company/14062447")</f>
        <v>https://www.list-org.com/company/14062447</v>
      </c>
      <c r="B807" s="3" t="s">
        <v>3888</v>
      </c>
      <c r="C807" s="3" t="s">
        <v>3889</v>
      </c>
      <c r="D807" s="3" t="s">
        <v>14</v>
      </c>
      <c r="E807" s="3" t="s">
        <v>3890</v>
      </c>
      <c r="F807" s="3" t="s">
        <v>3891</v>
      </c>
      <c r="G807" s="3"/>
      <c r="H807" s="3" t="s">
        <v>3892</v>
      </c>
      <c r="I807" s="4"/>
      <c r="J807" s="4"/>
      <c r="K807" s="4"/>
      <c r="L807" s="4"/>
    </row>
    <row r="808" spans="1:12" x14ac:dyDescent="0.25">
      <c r="A808" s="2" t="str">
        <f>HYPERLINK("https://www.list-org.com/company/14062448","https://www.list-org.com/company/14062448")</f>
        <v>https://www.list-org.com/company/14062448</v>
      </c>
      <c r="B808" s="3" t="s">
        <v>3893</v>
      </c>
      <c r="C808" s="3" t="s">
        <v>3894</v>
      </c>
      <c r="D808" s="3" t="s">
        <v>14</v>
      </c>
      <c r="E808" s="3" t="s">
        <v>3895</v>
      </c>
      <c r="F808" s="3" t="s">
        <v>3896</v>
      </c>
      <c r="G808" s="3"/>
      <c r="H808" s="3" t="s">
        <v>3897</v>
      </c>
      <c r="I808" s="4"/>
      <c r="J808" s="4"/>
      <c r="K808" s="4"/>
      <c r="L808" s="4"/>
    </row>
    <row r="809" spans="1:12" x14ac:dyDescent="0.25">
      <c r="A809" s="2" t="str">
        <f>HYPERLINK("https://www.list-org.com/company/14062451","https://www.list-org.com/company/14062451")</f>
        <v>https://www.list-org.com/company/14062451</v>
      </c>
      <c r="B809" s="3" t="s">
        <v>3898</v>
      </c>
      <c r="C809" s="3" t="s">
        <v>3899</v>
      </c>
      <c r="D809" s="3" t="s">
        <v>14</v>
      </c>
      <c r="E809" s="3" t="s">
        <v>3900</v>
      </c>
      <c r="F809" s="3" t="s">
        <v>3901</v>
      </c>
      <c r="G809" s="3"/>
      <c r="H809" s="3" t="s">
        <v>3902</v>
      </c>
      <c r="I809" s="4"/>
      <c r="J809" s="4"/>
      <c r="K809" s="4"/>
      <c r="L809" s="4"/>
    </row>
    <row r="810" spans="1:12" x14ac:dyDescent="0.25">
      <c r="A810" s="2" t="str">
        <f>HYPERLINK("https://www.list-org.com/company/14062464","https://www.list-org.com/company/14062464")</f>
        <v>https://www.list-org.com/company/14062464</v>
      </c>
      <c r="B810" s="3" t="s">
        <v>3903</v>
      </c>
      <c r="C810" s="3" t="s">
        <v>3904</v>
      </c>
      <c r="D810" s="3" t="s">
        <v>14</v>
      </c>
      <c r="E810" s="3" t="s">
        <v>3905</v>
      </c>
      <c r="F810" s="3" t="s">
        <v>3906</v>
      </c>
      <c r="G810" s="3"/>
      <c r="H810" s="3" t="s">
        <v>3907</v>
      </c>
      <c r="I810" s="4"/>
      <c r="J810" s="4"/>
      <c r="K810" s="4"/>
      <c r="L810" s="4"/>
    </row>
    <row r="811" spans="1:12" x14ac:dyDescent="0.25">
      <c r="A811" s="2" t="str">
        <f>HYPERLINK("https://www.list-org.com/company/14123397","https://www.list-org.com/company/14123397")</f>
        <v>https://www.list-org.com/company/14123397</v>
      </c>
      <c r="B811" s="3" t="s">
        <v>3908</v>
      </c>
      <c r="C811" s="3" t="s">
        <v>3909</v>
      </c>
      <c r="D811" s="3" t="s">
        <v>14</v>
      </c>
      <c r="E811" s="3" t="s">
        <v>3910</v>
      </c>
      <c r="F811" s="3" t="s">
        <v>3911</v>
      </c>
      <c r="G811" s="3"/>
      <c r="H811" s="3" t="s">
        <v>3912</v>
      </c>
      <c r="I811" s="4"/>
      <c r="J811" s="4"/>
      <c r="K811" s="4"/>
      <c r="L811" s="4"/>
    </row>
    <row r="812" spans="1:12" x14ac:dyDescent="0.25">
      <c r="A812" s="2" t="str">
        <f>HYPERLINK("https://www.list-org.com/company/14123398","https://www.list-org.com/company/14123398")</f>
        <v>https://www.list-org.com/company/14123398</v>
      </c>
      <c r="B812" s="3" t="s">
        <v>3913</v>
      </c>
      <c r="C812" s="3" t="s">
        <v>3914</v>
      </c>
      <c r="D812" s="3" t="s">
        <v>14</v>
      </c>
      <c r="E812" s="3" t="s">
        <v>3915</v>
      </c>
      <c r="F812" s="3" t="s">
        <v>3916</v>
      </c>
      <c r="G812" s="3"/>
      <c r="H812" s="3" t="s">
        <v>3917</v>
      </c>
      <c r="I812" s="4"/>
      <c r="J812" s="4"/>
      <c r="K812" s="4"/>
      <c r="L812" s="4"/>
    </row>
    <row r="813" spans="1:12" x14ac:dyDescent="0.25">
      <c r="A813" s="2" t="str">
        <f>HYPERLINK("https://www.list-org.com/company/14124213","https://www.list-org.com/company/14124213")</f>
        <v>https://www.list-org.com/company/14124213</v>
      </c>
      <c r="B813" s="3" t="s">
        <v>3918</v>
      </c>
      <c r="C813" s="3" t="s">
        <v>3919</v>
      </c>
      <c r="D813" s="3" t="s">
        <v>14</v>
      </c>
      <c r="E813" s="3" t="s">
        <v>3920</v>
      </c>
      <c r="F813" s="3" t="s">
        <v>3921</v>
      </c>
      <c r="G813" s="3"/>
      <c r="H813" s="3" t="s">
        <v>442</v>
      </c>
      <c r="I813" s="4"/>
      <c r="J813" s="4"/>
      <c r="K813" s="4"/>
      <c r="L813" s="4"/>
    </row>
    <row r="814" spans="1:12" x14ac:dyDescent="0.25">
      <c r="A814" s="2" t="str">
        <f>HYPERLINK("https://www.list-org.com/company/14124216","https://www.list-org.com/company/14124216")</f>
        <v>https://www.list-org.com/company/14124216</v>
      </c>
      <c r="B814" s="3" t="s">
        <v>3922</v>
      </c>
      <c r="C814" s="3" t="s">
        <v>3923</v>
      </c>
      <c r="D814" s="3" t="s">
        <v>14</v>
      </c>
      <c r="E814" s="3" t="s">
        <v>3924</v>
      </c>
      <c r="F814" s="3" t="s">
        <v>3925</v>
      </c>
      <c r="G814" s="3"/>
      <c r="H814" s="3" t="s">
        <v>3926</v>
      </c>
      <c r="I814" s="4"/>
      <c r="J814" s="4"/>
      <c r="K814" s="4"/>
      <c r="L814" s="4"/>
    </row>
    <row r="815" spans="1:12" x14ac:dyDescent="0.25">
      <c r="A815" s="2" t="str">
        <f>HYPERLINK("https://www.list-org.com/company/14124222","https://www.list-org.com/company/14124222")</f>
        <v>https://www.list-org.com/company/14124222</v>
      </c>
      <c r="B815" s="3" t="s">
        <v>3927</v>
      </c>
      <c r="C815" s="3" t="s">
        <v>3928</v>
      </c>
      <c r="D815" s="3" t="s">
        <v>14</v>
      </c>
      <c r="E815" s="3" t="s">
        <v>3929</v>
      </c>
      <c r="F815" s="3" t="s">
        <v>3930</v>
      </c>
      <c r="G815" s="3"/>
      <c r="H815" s="3" t="s">
        <v>3931</v>
      </c>
      <c r="I815" s="4"/>
      <c r="J815" s="4"/>
      <c r="K815" s="4"/>
      <c r="L815" s="4"/>
    </row>
    <row r="816" spans="1:12" x14ac:dyDescent="0.25">
      <c r="A816" s="2" t="str">
        <f>HYPERLINK("https://www.list-org.com/company/14124466","https://www.list-org.com/company/14124466")</f>
        <v>https://www.list-org.com/company/14124466</v>
      </c>
      <c r="B816" s="3" t="s">
        <v>3932</v>
      </c>
      <c r="C816" s="3" t="s">
        <v>3933</v>
      </c>
      <c r="D816" s="3" t="s">
        <v>14</v>
      </c>
      <c r="E816" s="3" t="s">
        <v>3934</v>
      </c>
      <c r="F816" s="3" t="s">
        <v>3935</v>
      </c>
      <c r="G816" s="3"/>
      <c r="H816" s="3" t="s">
        <v>3936</v>
      </c>
      <c r="I816" s="4"/>
      <c r="J816" s="4"/>
      <c r="K816" s="4"/>
      <c r="L816" s="4"/>
    </row>
    <row r="817" spans="1:12" x14ac:dyDescent="0.25">
      <c r="A817" s="2" t="str">
        <f>HYPERLINK("https://www.list-org.com/company/14124669","https://www.list-org.com/company/14124669")</f>
        <v>https://www.list-org.com/company/14124669</v>
      </c>
      <c r="B817" s="3" t="s">
        <v>3937</v>
      </c>
      <c r="C817" s="3" t="s">
        <v>3938</v>
      </c>
      <c r="D817" s="3" t="s">
        <v>14</v>
      </c>
      <c r="E817" s="3" t="s">
        <v>3939</v>
      </c>
      <c r="F817" s="3" t="s">
        <v>3940</v>
      </c>
      <c r="G817" s="3"/>
      <c r="H817" s="3" t="s">
        <v>3941</v>
      </c>
      <c r="I817" s="4"/>
      <c r="J817" s="4"/>
      <c r="K817" s="4"/>
      <c r="L817" s="4"/>
    </row>
    <row r="818" spans="1:12" x14ac:dyDescent="0.25">
      <c r="A818" s="2" t="str">
        <f>HYPERLINK("https://www.list-org.com/company/14124724","https://www.list-org.com/company/14124724")</f>
        <v>https://www.list-org.com/company/14124724</v>
      </c>
      <c r="B818" s="3" t="s">
        <v>3942</v>
      </c>
      <c r="C818" s="3" t="s">
        <v>3943</v>
      </c>
      <c r="D818" s="3" t="s">
        <v>14</v>
      </c>
      <c r="E818" s="3" t="s">
        <v>3944</v>
      </c>
      <c r="F818" s="3" t="s">
        <v>3945</v>
      </c>
      <c r="G818" s="3"/>
      <c r="H818" s="3" t="s">
        <v>3946</v>
      </c>
      <c r="I818" s="4"/>
      <c r="J818" s="4"/>
      <c r="K818" s="4"/>
      <c r="L818" s="4"/>
    </row>
    <row r="819" spans="1:12" x14ac:dyDescent="0.25">
      <c r="A819" s="2" t="str">
        <f>HYPERLINK("https://www.list-org.com/company/14124730","https://www.list-org.com/company/14124730")</f>
        <v>https://www.list-org.com/company/14124730</v>
      </c>
      <c r="B819" s="3" t="s">
        <v>3947</v>
      </c>
      <c r="C819" s="3" t="s">
        <v>3948</v>
      </c>
      <c r="D819" s="3" t="s">
        <v>14</v>
      </c>
      <c r="E819" s="3" t="s">
        <v>3949</v>
      </c>
      <c r="F819" s="3" t="s">
        <v>3950</v>
      </c>
      <c r="G819" s="3"/>
      <c r="H819" s="3" t="s">
        <v>3951</v>
      </c>
      <c r="I819" s="4"/>
      <c r="J819" s="4"/>
      <c r="K819" s="4"/>
      <c r="L819" s="4">
        <v>113</v>
      </c>
    </row>
    <row r="820" spans="1:12" x14ac:dyDescent="0.25">
      <c r="A820" s="2" t="str">
        <f>HYPERLINK("https://www.list-org.com/company/14125213","https://www.list-org.com/company/14125213")</f>
        <v>https://www.list-org.com/company/14125213</v>
      </c>
      <c r="B820" s="3" t="s">
        <v>3952</v>
      </c>
      <c r="C820" s="3" t="s">
        <v>3953</v>
      </c>
      <c r="D820" s="3" t="s">
        <v>14</v>
      </c>
      <c r="E820" s="3" t="s">
        <v>3954</v>
      </c>
      <c r="F820" s="3" t="s">
        <v>3955</v>
      </c>
      <c r="G820" s="3"/>
      <c r="H820" s="3" t="s">
        <v>3956</v>
      </c>
      <c r="I820" s="4"/>
      <c r="J820" s="4"/>
      <c r="K820" s="4"/>
      <c r="L820" s="4"/>
    </row>
    <row r="821" spans="1:12" x14ac:dyDescent="0.25">
      <c r="A821" s="2" t="str">
        <f>HYPERLINK("https://www.list-org.com/company/14125578","https://www.list-org.com/company/14125578")</f>
        <v>https://www.list-org.com/company/14125578</v>
      </c>
      <c r="B821" s="3" t="s">
        <v>3957</v>
      </c>
      <c r="C821" s="3" t="s">
        <v>3958</v>
      </c>
      <c r="D821" s="3" t="s">
        <v>14</v>
      </c>
      <c r="E821" s="3" t="s">
        <v>3959</v>
      </c>
      <c r="F821" s="3" t="s">
        <v>3960</v>
      </c>
      <c r="G821" s="3"/>
      <c r="H821" s="3" t="s">
        <v>3961</v>
      </c>
      <c r="I821" s="4"/>
      <c r="J821" s="4"/>
      <c r="K821" s="4"/>
      <c r="L821" s="4"/>
    </row>
    <row r="822" spans="1:12" x14ac:dyDescent="0.25">
      <c r="A822" s="2" t="str">
        <f>HYPERLINK("https://www.list-org.com/company/14125620","https://www.list-org.com/company/14125620")</f>
        <v>https://www.list-org.com/company/14125620</v>
      </c>
      <c r="B822" s="3" t="s">
        <v>3962</v>
      </c>
      <c r="C822" s="3" t="s">
        <v>3963</v>
      </c>
      <c r="D822" s="3" t="s">
        <v>14</v>
      </c>
      <c r="E822" s="3" t="s">
        <v>3964</v>
      </c>
      <c r="F822" s="3" t="s">
        <v>3965</v>
      </c>
      <c r="G822" s="3"/>
      <c r="H822" s="3" t="s">
        <v>3966</v>
      </c>
      <c r="I822" s="4"/>
      <c r="J822" s="4"/>
      <c r="K822" s="4"/>
      <c r="L822" s="4"/>
    </row>
    <row r="823" spans="1:12" x14ac:dyDescent="0.25">
      <c r="A823" s="2" t="str">
        <f>HYPERLINK("https://www.list-org.com/company/14125840","https://www.list-org.com/company/14125840")</f>
        <v>https://www.list-org.com/company/14125840</v>
      </c>
      <c r="B823" s="3" t="s">
        <v>3967</v>
      </c>
      <c r="C823" s="3" t="s">
        <v>3968</v>
      </c>
      <c r="D823" s="3" t="s">
        <v>14</v>
      </c>
      <c r="E823" s="3" t="s">
        <v>3969</v>
      </c>
      <c r="F823" s="3" t="s">
        <v>3970</v>
      </c>
      <c r="G823" s="3"/>
      <c r="H823" s="3" t="s">
        <v>696</v>
      </c>
      <c r="I823" s="4"/>
      <c r="J823" s="4"/>
      <c r="K823" s="4"/>
      <c r="L823" s="4"/>
    </row>
    <row r="824" spans="1:12" x14ac:dyDescent="0.25">
      <c r="A824" s="2" t="str">
        <f>HYPERLINK("https://www.list-org.com/company/14126042","https://www.list-org.com/company/14126042")</f>
        <v>https://www.list-org.com/company/14126042</v>
      </c>
      <c r="B824" s="3" t="s">
        <v>3971</v>
      </c>
      <c r="C824" s="3" t="s">
        <v>3972</v>
      </c>
      <c r="D824" s="3" t="s">
        <v>14</v>
      </c>
      <c r="E824" s="3" t="s">
        <v>3973</v>
      </c>
      <c r="F824" s="3" t="s">
        <v>3974</v>
      </c>
      <c r="G824" s="3"/>
      <c r="H824" s="3" t="s">
        <v>3975</v>
      </c>
      <c r="I824" s="4"/>
      <c r="J824" s="4"/>
      <c r="K824" s="4"/>
      <c r="L824" s="4"/>
    </row>
    <row r="825" spans="1:12" x14ac:dyDescent="0.25">
      <c r="A825" s="2" t="str">
        <f>HYPERLINK("https://www.list-org.com/company/14127735","https://www.list-org.com/company/14127735")</f>
        <v>https://www.list-org.com/company/14127735</v>
      </c>
      <c r="B825" s="3" t="s">
        <v>3976</v>
      </c>
      <c r="C825" s="3" t="s">
        <v>3977</v>
      </c>
      <c r="D825" s="3" t="s">
        <v>14</v>
      </c>
      <c r="E825" s="3" t="s">
        <v>3978</v>
      </c>
      <c r="F825" s="3" t="s">
        <v>3979</v>
      </c>
      <c r="G825" s="3"/>
      <c r="H825" s="3" t="s">
        <v>3980</v>
      </c>
      <c r="I825" s="4"/>
      <c r="J825" s="4"/>
      <c r="K825" s="4"/>
      <c r="L825" s="4"/>
    </row>
    <row r="826" spans="1:12" x14ac:dyDescent="0.25">
      <c r="A826" s="2" t="str">
        <f>HYPERLINK("https://www.list-org.com/company/14127744","https://www.list-org.com/company/14127744")</f>
        <v>https://www.list-org.com/company/14127744</v>
      </c>
      <c r="B826" s="3" t="s">
        <v>3981</v>
      </c>
      <c r="C826" s="3" t="s">
        <v>3982</v>
      </c>
      <c r="D826" s="3" t="s">
        <v>14</v>
      </c>
      <c r="E826" s="3" t="s">
        <v>3983</v>
      </c>
      <c r="F826" s="3" t="s">
        <v>3984</v>
      </c>
      <c r="G826" s="3"/>
      <c r="H826" s="3" t="s">
        <v>3985</v>
      </c>
      <c r="I826" s="4"/>
      <c r="J826" s="4"/>
      <c r="K826" s="4"/>
      <c r="L826" s="4"/>
    </row>
    <row r="827" spans="1:12" x14ac:dyDescent="0.25">
      <c r="A827" s="2" t="str">
        <f>HYPERLINK("https://www.list-org.com/company/14127775","https://www.list-org.com/company/14127775")</f>
        <v>https://www.list-org.com/company/14127775</v>
      </c>
      <c r="B827" s="3" t="s">
        <v>3986</v>
      </c>
      <c r="C827" s="3" t="s">
        <v>3987</v>
      </c>
      <c r="D827" s="3" t="s">
        <v>14</v>
      </c>
      <c r="E827" s="3" t="s">
        <v>3988</v>
      </c>
      <c r="F827" s="3" t="s">
        <v>3989</v>
      </c>
      <c r="G827" s="3"/>
      <c r="H827" s="3" t="s">
        <v>3990</v>
      </c>
      <c r="I827" s="4"/>
      <c r="J827" s="4"/>
      <c r="K827" s="4"/>
      <c r="L827" s="4"/>
    </row>
    <row r="828" spans="1:12" x14ac:dyDescent="0.25">
      <c r="A828" s="2" t="str">
        <f>HYPERLINK("https://www.list-org.com/company/14127905","https://www.list-org.com/company/14127905")</f>
        <v>https://www.list-org.com/company/14127905</v>
      </c>
      <c r="B828" s="3" t="s">
        <v>3991</v>
      </c>
      <c r="C828" s="3" t="s">
        <v>3992</v>
      </c>
      <c r="D828" s="3" t="s">
        <v>14</v>
      </c>
      <c r="E828" s="3" t="s">
        <v>3993</v>
      </c>
      <c r="F828" s="3" t="s">
        <v>3994</v>
      </c>
      <c r="G828" s="3"/>
      <c r="H828" s="3" t="s">
        <v>3995</v>
      </c>
      <c r="I828" s="4">
        <v>1</v>
      </c>
      <c r="J828" s="4">
        <v>497</v>
      </c>
      <c r="K828" s="4">
        <v>90</v>
      </c>
      <c r="L828" s="4">
        <v>27</v>
      </c>
    </row>
    <row r="829" spans="1:12" x14ac:dyDescent="0.25">
      <c r="A829" s="2" t="str">
        <f>HYPERLINK("https://www.list-org.com/company/14128337","https://www.list-org.com/company/14128337")</f>
        <v>https://www.list-org.com/company/14128337</v>
      </c>
      <c r="B829" s="3" t="s">
        <v>3996</v>
      </c>
      <c r="C829" s="3" t="s">
        <v>3997</v>
      </c>
      <c r="D829" s="3" t="s">
        <v>14</v>
      </c>
      <c r="E829" s="3" t="s">
        <v>3998</v>
      </c>
      <c r="F829" s="3" t="s">
        <v>3999</v>
      </c>
      <c r="G829" s="3"/>
      <c r="H829" s="3" t="s">
        <v>4000</v>
      </c>
      <c r="I829" s="4"/>
      <c r="J829" s="4"/>
      <c r="K829" s="4"/>
      <c r="L829" s="4"/>
    </row>
    <row r="830" spans="1:12" x14ac:dyDescent="0.25">
      <c r="A830" s="2" t="str">
        <f>HYPERLINK("https://www.list-org.com/company/14128841","https://www.list-org.com/company/14128841")</f>
        <v>https://www.list-org.com/company/14128841</v>
      </c>
      <c r="B830" s="3" t="s">
        <v>4001</v>
      </c>
      <c r="C830" s="3" t="s">
        <v>4002</v>
      </c>
      <c r="D830" s="3" t="s">
        <v>14</v>
      </c>
      <c r="E830" s="3" t="s">
        <v>4003</v>
      </c>
      <c r="F830" s="3" t="s">
        <v>4004</v>
      </c>
      <c r="G830" s="3"/>
      <c r="H830" s="3" t="s">
        <v>4005</v>
      </c>
      <c r="I830" s="4"/>
      <c r="J830" s="4"/>
      <c r="K830" s="4"/>
      <c r="L830" s="4"/>
    </row>
    <row r="831" spans="1:12" x14ac:dyDescent="0.25">
      <c r="A831" s="2" t="str">
        <f>HYPERLINK("https://www.list-org.com/company/14129198","https://www.list-org.com/company/14129198")</f>
        <v>https://www.list-org.com/company/14129198</v>
      </c>
      <c r="B831" s="3" t="s">
        <v>4006</v>
      </c>
      <c r="C831" s="3" t="s">
        <v>4007</v>
      </c>
      <c r="D831" s="3" t="s">
        <v>14</v>
      </c>
      <c r="E831" s="3" t="s">
        <v>4008</v>
      </c>
      <c r="F831" s="3" t="s">
        <v>4009</v>
      </c>
      <c r="G831" s="3"/>
      <c r="H831" s="3" t="s">
        <v>4010</v>
      </c>
      <c r="I831" s="4"/>
      <c r="J831" s="4"/>
      <c r="K831" s="4"/>
      <c r="L831" s="4"/>
    </row>
    <row r="832" spans="1:12" x14ac:dyDescent="0.25">
      <c r="A832" s="2" t="str">
        <f>HYPERLINK("https://www.list-org.com/company/14129430","https://www.list-org.com/company/14129430")</f>
        <v>https://www.list-org.com/company/14129430</v>
      </c>
      <c r="B832" s="3" t="s">
        <v>4011</v>
      </c>
      <c r="C832" s="3" t="s">
        <v>4012</v>
      </c>
      <c r="D832" s="3" t="s">
        <v>14</v>
      </c>
      <c r="E832" s="3" t="s">
        <v>4013</v>
      </c>
      <c r="F832" s="3" t="s">
        <v>4014</v>
      </c>
      <c r="G832" s="3"/>
      <c r="H832" s="3" t="s">
        <v>4015</v>
      </c>
      <c r="I832" s="4"/>
      <c r="J832" s="4"/>
      <c r="K832" s="4"/>
      <c r="L832" s="4"/>
    </row>
    <row r="833" spans="1:12" x14ac:dyDescent="0.25">
      <c r="A833" s="2" t="str">
        <f>HYPERLINK("https://www.list-org.com/company/14129816","https://www.list-org.com/company/14129816")</f>
        <v>https://www.list-org.com/company/14129816</v>
      </c>
      <c r="B833" s="3" t="s">
        <v>4016</v>
      </c>
      <c r="C833" s="3" t="s">
        <v>4017</v>
      </c>
      <c r="D833" s="3" t="s">
        <v>14</v>
      </c>
      <c r="E833" s="3" t="s">
        <v>4018</v>
      </c>
      <c r="F833" s="3" t="s">
        <v>4019</v>
      </c>
      <c r="G833" s="3"/>
      <c r="H833" s="3" t="s">
        <v>4020</v>
      </c>
      <c r="I833" s="4"/>
      <c r="J833" s="4"/>
      <c r="K833" s="4"/>
      <c r="L833" s="4"/>
    </row>
    <row r="834" spans="1:12" x14ac:dyDescent="0.25">
      <c r="A834" s="2" t="str">
        <f>HYPERLINK("https://www.list-org.com/company/14129840","https://www.list-org.com/company/14129840")</f>
        <v>https://www.list-org.com/company/14129840</v>
      </c>
      <c r="B834" s="3" t="s">
        <v>4021</v>
      </c>
      <c r="C834" s="3" t="s">
        <v>4022</v>
      </c>
      <c r="D834" s="3" t="s">
        <v>14</v>
      </c>
      <c r="E834" s="3" t="s">
        <v>4023</v>
      </c>
      <c r="F834" s="3" t="s">
        <v>4024</v>
      </c>
      <c r="G834" s="3"/>
      <c r="H834" s="3" t="s">
        <v>4025</v>
      </c>
      <c r="I834" s="4"/>
      <c r="J834" s="4"/>
      <c r="K834" s="4"/>
      <c r="L834" s="4"/>
    </row>
    <row r="835" spans="1:12" x14ac:dyDescent="0.25">
      <c r="A835" s="2" t="str">
        <f>HYPERLINK("https://www.list-org.com/company/14129906","https://www.list-org.com/company/14129906")</f>
        <v>https://www.list-org.com/company/14129906</v>
      </c>
      <c r="B835" s="3" t="s">
        <v>4026</v>
      </c>
      <c r="C835" s="3" t="s">
        <v>4027</v>
      </c>
      <c r="D835" s="3" t="s">
        <v>14</v>
      </c>
      <c r="E835" s="3" t="s">
        <v>4028</v>
      </c>
      <c r="F835" s="3" t="s">
        <v>4029</v>
      </c>
      <c r="G835" s="3"/>
      <c r="H835" s="3" t="s">
        <v>1168</v>
      </c>
      <c r="I835" s="4"/>
      <c r="J835" s="4"/>
      <c r="K835" s="4"/>
      <c r="L835" s="4"/>
    </row>
    <row r="836" spans="1:12" x14ac:dyDescent="0.25">
      <c r="A836" s="2" t="str">
        <f>HYPERLINK("https://www.list-org.com/company/14130618","https://www.list-org.com/company/14130618")</f>
        <v>https://www.list-org.com/company/14130618</v>
      </c>
      <c r="B836" s="3" t="s">
        <v>4030</v>
      </c>
      <c r="C836" s="3" t="s">
        <v>4031</v>
      </c>
      <c r="D836" s="3" t="s">
        <v>14</v>
      </c>
      <c r="E836" s="3" t="s">
        <v>4032</v>
      </c>
      <c r="F836" s="3" t="s">
        <v>4033</v>
      </c>
      <c r="G836" s="3"/>
      <c r="H836" s="3" t="s">
        <v>4034</v>
      </c>
      <c r="I836" s="4"/>
      <c r="J836" s="4"/>
      <c r="K836" s="4"/>
      <c r="L836" s="4"/>
    </row>
    <row r="837" spans="1:12" x14ac:dyDescent="0.25">
      <c r="A837" s="2" t="str">
        <f>HYPERLINK("https://www.list-org.com/company/14130738","https://www.list-org.com/company/14130738")</f>
        <v>https://www.list-org.com/company/14130738</v>
      </c>
      <c r="B837" s="3" t="s">
        <v>4035</v>
      </c>
      <c r="C837" s="3" t="s">
        <v>4036</v>
      </c>
      <c r="D837" s="3" t="s">
        <v>14</v>
      </c>
      <c r="E837" s="3" t="s">
        <v>4037</v>
      </c>
      <c r="F837" s="3" t="s">
        <v>4038</v>
      </c>
      <c r="G837" s="3"/>
      <c r="H837" s="3" t="s">
        <v>1241</v>
      </c>
      <c r="I837" s="4"/>
      <c r="J837" s="4">
        <v>178</v>
      </c>
      <c r="K837" s="4">
        <v>50</v>
      </c>
      <c r="L837" s="4">
        <v>10</v>
      </c>
    </row>
    <row r="838" spans="1:12" x14ac:dyDescent="0.25">
      <c r="A838" s="2" t="str">
        <f>HYPERLINK("https://www.list-org.com/company/14131632","https://www.list-org.com/company/14131632")</f>
        <v>https://www.list-org.com/company/14131632</v>
      </c>
      <c r="B838" s="3" t="s">
        <v>4039</v>
      </c>
      <c r="C838" s="3" t="s">
        <v>4040</v>
      </c>
      <c r="D838" s="3" t="s">
        <v>14</v>
      </c>
      <c r="E838" s="3" t="s">
        <v>4041</v>
      </c>
      <c r="F838" s="3" t="s">
        <v>4042</v>
      </c>
      <c r="G838" s="3"/>
      <c r="H838" s="3" t="s">
        <v>4043</v>
      </c>
      <c r="I838" s="4"/>
      <c r="J838" s="4"/>
      <c r="K838" s="4"/>
      <c r="L838" s="4"/>
    </row>
    <row r="839" spans="1:12" x14ac:dyDescent="0.25">
      <c r="A839" s="2" t="str">
        <f>HYPERLINK("https://www.list-org.com/company/14131833","https://www.list-org.com/company/14131833")</f>
        <v>https://www.list-org.com/company/14131833</v>
      </c>
      <c r="B839" s="3" t="s">
        <v>4044</v>
      </c>
      <c r="C839" s="3" t="s">
        <v>4045</v>
      </c>
      <c r="D839" s="3" t="s">
        <v>14</v>
      </c>
      <c r="E839" s="3" t="s">
        <v>4046</v>
      </c>
      <c r="F839" s="3" t="s">
        <v>4047</v>
      </c>
      <c r="G839" s="3"/>
      <c r="H839" s="3" t="s">
        <v>3820</v>
      </c>
      <c r="I839" s="4"/>
      <c r="J839" s="4"/>
      <c r="K839" s="4"/>
      <c r="L839" s="4"/>
    </row>
    <row r="840" spans="1:12" x14ac:dyDescent="0.25">
      <c r="A840" s="2" t="str">
        <f>HYPERLINK("https://www.list-org.com/company/14132035","https://www.list-org.com/company/14132035")</f>
        <v>https://www.list-org.com/company/14132035</v>
      </c>
      <c r="B840" s="3" t="s">
        <v>4048</v>
      </c>
      <c r="C840" s="3" t="s">
        <v>4049</v>
      </c>
      <c r="D840" s="3" t="s">
        <v>14</v>
      </c>
      <c r="E840" s="3" t="s">
        <v>4050</v>
      </c>
      <c r="F840" s="3" t="s">
        <v>4051</v>
      </c>
      <c r="G840" s="3"/>
      <c r="H840" s="3" t="s">
        <v>4052</v>
      </c>
      <c r="I840" s="4"/>
      <c r="J840" s="4"/>
      <c r="K840" s="4"/>
      <c r="L840" s="4"/>
    </row>
    <row r="841" spans="1:12" x14ac:dyDescent="0.25">
      <c r="A841" s="2" t="str">
        <f>HYPERLINK("https://www.list-org.com/company/14132057","https://www.list-org.com/company/14132057")</f>
        <v>https://www.list-org.com/company/14132057</v>
      </c>
      <c r="B841" s="3" t="s">
        <v>4053</v>
      </c>
      <c r="C841" s="3" t="s">
        <v>4054</v>
      </c>
      <c r="D841" s="3" t="s">
        <v>14</v>
      </c>
      <c r="E841" s="3" t="s">
        <v>4055</v>
      </c>
      <c r="F841" s="3" t="s">
        <v>4056</v>
      </c>
      <c r="G841" s="3"/>
      <c r="H841" s="3" t="s">
        <v>4057</v>
      </c>
      <c r="I841" s="4"/>
      <c r="J841" s="4"/>
      <c r="K841" s="4"/>
      <c r="L841" s="4"/>
    </row>
    <row r="842" spans="1:12" x14ac:dyDescent="0.25">
      <c r="A842" s="2" t="str">
        <f>HYPERLINK("https://www.list-org.com/company/14132203","https://www.list-org.com/company/14132203")</f>
        <v>https://www.list-org.com/company/14132203</v>
      </c>
      <c r="B842" s="3" t="s">
        <v>4058</v>
      </c>
      <c r="C842" s="3" t="s">
        <v>4059</v>
      </c>
      <c r="D842" s="3" t="s">
        <v>14</v>
      </c>
      <c r="E842" s="3" t="s">
        <v>4060</v>
      </c>
      <c r="F842" s="3" t="s">
        <v>4061</v>
      </c>
      <c r="G842" s="3"/>
      <c r="H842" s="3" t="s">
        <v>4062</v>
      </c>
      <c r="I842" s="4"/>
      <c r="J842" s="4"/>
      <c r="K842" s="4"/>
      <c r="L842" s="4"/>
    </row>
    <row r="843" spans="1:12" x14ac:dyDescent="0.25">
      <c r="A843" s="2" t="str">
        <f>HYPERLINK("https://www.list-org.com/company/14133409","https://www.list-org.com/company/14133409")</f>
        <v>https://www.list-org.com/company/14133409</v>
      </c>
      <c r="B843" s="3" t="s">
        <v>4063</v>
      </c>
      <c r="C843" s="3" t="s">
        <v>4064</v>
      </c>
      <c r="D843" s="3" t="s">
        <v>14</v>
      </c>
      <c r="E843" s="3" t="s">
        <v>4065</v>
      </c>
      <c r="F843" s="3" t="s">
        <v>4066</v>
      </c>
      <c r="G843" s="3"/>
      <c r="H843" s="3" t="s">
        <v>4067</v>
      </c>
      <c r="I843" s="4"/>
      <c r="J843" s="4"/>
      <c r="K843" s="4"/>
      <c r="L843" s="4"/>
    </row>
    <row r="844" spans="1:12" x14ac:dyDescent="0.25">
      <c r="A844" s="2" t="str">
        <f>HYPERLINK("https://www.list-org.com/company/14134647","https://www.list-org.com/company/14134647")</f>
        <v>https://www.list-org.com/company/14134647</v>
      </c>
      <c r="B844" s="3" t="s">
        <v>4068</v>
      </c>
      <c r="C844" s="3" t="s">
        <v>4069</v>
      </c>
      <c r="D844" s="3" t="s">
        <v>14</v>
      </c>
      <c r="E844" s="3" t="s">
        <v>4070</v>
      </c>
      <c r="F844" s="3" t="s">
        <v>4071</v>
      </c>
      <c r="G844" s="3"/>
      <c r="H844" s="3" t="s">
        <v>4072</v>
      </c>
      <c r="I844" s="4"/>
      <c r="J844" s="4"/>
      <c r="K844" s="4"/>
      <c r="L844" s="4"/>
    </row>
    <row r="845" spans="1:12" x14ac:dyDescent="0.25">
      <c r="A845" s="2" t="str">
        <f>HYPERLINK("https://www.list-org.com/company/14136751","https://www.list-org.com/company/14136751")</f>
        <v>https://www.list-org.com/company/14136751</v>
      </c>
      <c r="B845" s="3" t="s">
        <v>4073</v>
      </c>
      <c r="C845" s="3" t="s">
        <v>4074</v>
      </c>
      <c r="D845" s="3" t="s">
        <v>14</v>
      </c>
      <c r="E845" s="3" t="s">
        <v>4075</v>
      </c>
      <c r="F845" s="3" t="s">
        <v>4076</v>
      </c>
      <c r="G845" s="3"/>
      <c r="H845" s="3" t="s">
        <v>4077</v>
      </c>
      <c r="I845" s="4"/>
      <c r="J845" s="4"/>
      <c r="K845" s="4"/>
      <c r="L845" s="4"/>
    </row>
    <row r="846" spans="1:12" x14ac:dyDescent="0.25">
      <c r="A846" s="2" t="str">
        <f>HYPERLINK("https://www.list-org.com/company/14136907","https://www.list-org.com/company/14136907")</f>
        <v>https://www.list-org.com/company/14136907</v>
      </c>
      <c r="B846" s="3" t="s">
        <v>4078</v>
      </c>
      <c r="C846" s="3" t="s">
        <v>4079</v>
      </c>
      <c r="D846" s="3" t="s">
        <v>14</v>
      </c>
      <c r="E846" s="3" t="s">
        <v>4080</v>
      </c>
      <c r="F846" s="3" t="s">
        <v>4081</v>
      </c>
      <c r="G846" s="3"/>
      <c r="H846" s="3" t="s">
        <v>4082</v>
      </c>
      <c r="I846" s="4">
        <v>2</v>
      </c>
      <c r="J846" s="4">
        <v>480721</v>
      </c>
      <c r="K846" s="4">
        <v>402293</v>
      </c>
      <c r="L846" s="4">
        <v>423199</v>
      </c>
    </row>
    <row r="847" spans="1:12" x14ac:dyDescent="0.25">
      <c r="A847" s="2" t="str">
        <f>HYPERLINK("https://www.list-org.com/company/14136917","https://www.list-org.com/company/14136917")</f>
        <v>https://www.list-org.com/company/14136917</v>
      </c>
      <c r="B847" s="3" t="s">
        <v>4083</v>
      </c>
      <c r="C847" s="3" t="s">
        <v>4084</v>
      </c>
      <c r="D847" s="3" t="s">
        <v>14</v>
      </c>
      <c r="E847" s="3" t="s">
        <v>4085</v>
      </c>
      <c r="F847" s="3" t="s">
        <v>4086</v>
      </c>
      <c r="G847" s="3"/>
      <c r="H847" s="3" t="s">
        <v>4087</v>
      </c>
      <c r="I847" s="4"/>
      <c r="J847" s="4"/>
      <c r="K847" s="4"/>
      <c r="L847" s="4"/>
    </row>
    <row r="848" spans="1:12" x14ac:dyDescent="0.25">
      <c r="A848" s="2" t="str">
        <f>HYPERLINK("https://www.list-org.com/company/14137358","https://www.list-org.com/company/14137358")</f>
        <v>https://www.list-org.com/company/14137358</v>
      </c>
      <c r="B848" s="3" t="s">
        <v>4088</v>
      </c>
      <c r="C848" s="3" t="s">
        <v>4089</v>
      </c>
      <c r="D848" s="3" t="s">
        <v>14</v>
      </c>
      <c r="E848" s="3" t="s">
        <v>4090</v>
      </c>
      <c r="F848" s="3" t="s">
        <v>4091</v>
      </c>
      <c r="G848" s="3"/>
      <c r="H848" s="3" t="s">
        <v>4092</v>
      </c>
      <c r="I848" s="4"/>
      <c r="J848" s="4"/>
      <c r="K848" s="4"/>
      <c r="L848" s="4"/>
    </row>
    <row r="849" spans="1:12" x14ac:dyDescent="0.25">
      <c r="A849" s="2" t="str">
        <f>HYPERLINK("https://www.list-org.com/company/14138699","https://www.list-org.com/company/14138699")</f>
        <v>https://www.list-org.com/company/14138699</v>
      </c>
      <c r="B849" s="3" t="s">
        <v>4093</v>
      </c>
      <c r="C849" s="3" t="s">
        <v>4094</v>
      </c>
      <c r="D849" s="3" t="s">
        <v>14</v>
      </c>
      <c r="E849" s="3" t="s">
        <v>4095</v>
      </c>
      <c r="F849" s="3" t="s">
        <v>4096</v>
      </c>
      <c r="G849" s="3"/>
      <c r="H849" s="3" t="s">
        <v>2998</v>
      </c>
      <c r="I849" s="4"/>
      <c r="J849" s="4"/>
      <c r="K849" s="4"/>
      <c r="L849" s="4"/>
    </row>
    <row r="850" spans="1:12" x14ac:dyDescent="0.25">
      <c r="A850" s="2" t="str">
        <f>HYPERLINK("https://www.list-org.com/company/14139522","https://www.list-org.com/company/14139522")</f>
        <v>https://www.list-org.com/company/14139522</v>
      </c>
      <c r="B850" s="3" t="s">
        <v>4097</v>
      </c>
      <c r="C850" s="3" t="s">
        <v>4098</v>
      </c>
      <c r="D850" s="3" t="s">
        <v>14</v>
      </c>
      <c r="E850" s="3" t="s">
        <v>4099</v>
      </c>
      <c r="F850" s="3" t="s">
        <v>4100</v>
      </c>
      <c r="G850" s="3"/>
      <c r="H850" s="3" t="s">
        <v>4101</v>
      </c>
      <c r="I850" s="4"/>
      <c r="J850" s="4"/>
      <c r="K850" s="4"/>
      <c r="L850" s="4"/>
    </row>
    <row r="851" spans="1:12" x14ac:dyDescent="0.25">
      <c r="A851" s="2" t="str">
        <f>HYPERLINK("https://www.list-org.com/company/14139945","https://www.list-org.com/company/14139945")</f>
        <v>https://www.list-org.com/company/14139945</v>
      </c>
      <c r="B851" s="3" t="s">
        <v>4102</v>
      </c>
      <c r="C851" s="3" t="s">
        <v>4103</v>
      </c>
      <c r="D851" s="3" t="s">
        <v>14</v>
      </c>
      <c r="E851" s="3" t="s">
        <v>4104</v>
      </c>
      <c r="F851" s="3" t="s">
        <v>4105</v>
      </c>
      <c r="G851" s="3"/>
      <c r="H851" s="3" t="s">
        <v>4106</v>
      </c>
      <c r="I851" s="4"/>
      <c r="J851" s="4"/>
      <c r="K851" s="4"/>
      <c r="L851" s="4"/>
    </row>
    <row r="852" spans="1:12" x14ac:dyDescent="0.25">
      <c r="A852" s="2" t="str">
        <f>HYPERLINK("https://www.list-org.com/company/14140222","https://www.list-org.com/company/14140222")</f>
        <v>https://www.list-org.com/company/14140222</v>
      </c>
      <c r="B852" s="3" t="s">
        <v>4107</v>
      </c>
      <c r="C852" s="3" t="s">
        <v>4108</v>
      </c>
      <c r="D852" s="3" t="s">
        <v>14</v>
      </c>
      <c r="E852" s="3" t="s">
        <v>4109</v>
      </c>
      <c r="F852" s="3" t="s">
        <v>4110</v>
      </c>
      <c r="G852" s="3"/>
      <c r="H852" s="3" t="s">
        <v>4111</v>
      </c>
      <c r="I852" s="4"/>
      <c r="J852" s="4"/>
      <c r="K852" s="4"/>
      <c r="L852" s="4"/>
    </row>
    <row r="853" spans="1:12" x14ac:dyDescent="0.25">
      <c r="A853" s="2" t="str">
        <f>HYPERLINK("https://www.list-org.com/company/14140775","https://www.list-org.com/company/14140775")</f>
        <v>https://www.list-org.com/company/14140775</v>
      </c>
      <c r="B853" s="3" t="s">
        <v>4112</v>
      </c>
      <c r="C853" s="3" t="s">
        <v>4113</v>
      </c>
      <c r="D853" s="3" t="s">
        <v>14</v>
      </c>
      <c r="E853" s="3" t="s">
        <v>4114</v>
      </c>
      <c r="F853" s="3" t="s">
        <v>4115</v>
      </c>
      <c r="G853" s="3"/>
      <c r="H853" s="3" t="s">
        <v>4116</v>
      </c>
      <c r="I853" s="4"/>
      <c r="J853" s="4"/>
      <c r="K853" s="4"/>
      <c r="L853" s="4"/>
    </row>
    <row r="854" spans="1:12" x14ac:dyDescent="0.25">
      <c r="A854" s="2" t="str">
        <f>HYPERLINK("https://www.list-org.com/company/14140809","https://www.list-org.com/company/14140809")</f>
        <v>https://www.list-org.com/company/14140809</v>
      </c>
      <c r="B854" s="3" t="s">
        <v>4117</v>
      </c>
      <c r="C854" s="3" t="s">
        <v>4118</v>
      </c>
      <c r="D854" s="3" t="s">
        <v>14</v>
      </c>
      <c r="E854" s="3" t="s">
        <v>4119</v>
      </c>
      <c r="F854" s="3" t="s">
        <v>4120</v>
      </c>
      <c r="G854" s="3"/>
      <c r="H854" s="3" t="s">
        <v>4121</v>
      </c>
      <c r="I854" s="4"/>
      <c r="J854" s="4"/>
      <c r="K854" s="4"/>
      <c r="L854" s="4"/>
    </row>
    <row r="855" spans="1:12" x14ac:dyDescent="0.25">
      <c r="A855" s="2" t="str">
        <f>HYPERLINK("https://www.list-org.com/company/14141774","https://www.list-org.com/company/14141774")</f>
        <v>https://www.list-org.com/company/14141774</v>
      </c>
      <c r="B855" s="3" t="s">
        <v>4122</v>
      </c>
      <c r="C855" s="3" t="s">
        <v>4123</v>
      </c>
      <c r="D855" s="3" t="s">
        <v>14</v>
      </c>
      <c r="E855" s="3" t="s">
        <v>4124</v>
      </c>
      <c r="F855" s="3" t="s">
        <v>4125</v>
      </c>
      <c r="G855" s="3"/>
      <c r="H855" s="3" t="s">
        <v>4126</v>
      </c>
      <c r="I855" s="4"/>
      <c r="J855" s="4"/>
      <c r="K855" s="4"/>
      <c r="L855" s="4"/>
    </row>
    <row r="856" spans="1:12" x14ac:dyDescent="0.25">
      <c r="A856" s="2" t="str">
        <f>HYPERLINK("https://www.list-org.com/company/14141859","https://www.list-org.com/company/14141859")</f>
        <v>https://www.list-org.com/company/14141859</v>
      </c>
      <c r="B856" s="3" t="s">
        <v>4127</v>
      </c>
      <c r="C856" s="3" t="s">
        <v>4128</v>
      </c>
      <c r="D856" s="3" t="s">
        <v>14</v>
      </c>
      <c r="E856" s="3" t="s">
        <v>4129</v>
      </c>
      <c r="F856" s="3" t="s">
        <v>4130</v>
      </c>
      <c r="G856" s="3"/>
      <c r="H856" s="3" t="s">
        <v>4131</v>
      </c>
      <c r="I856" s="4"/>
      <c r="J856" s="4"/>
      <c r="K856" s="4"/>
      <c r="L856" s="4"/>
    </row>
    <row r="857" spans="1:12" x14ac:dyDescent="0.25">
      <c r="A857" s="2" t="str">
        <f>HYPERLINK("https://www.list-org.com/company/14142037","https://www.list-org.com/company/14142037")</f>
        <v>https://www.list-org.com/company/14142037</v>
      </c>
      <c r="B857" s="3" t="s">
        <v>4132</v>
      </c>
      <c r="C857" s="3" t="s">
        <v>4133</v>
      </c>
      <c r="D857" s="3" t="s">
        <v>14</v>
      </c>
      <c r="E857" s="3" t="s">
        <v>4134</v>
      </c>
      <c r="F857" s="3" t="s">
        <v>4135</v>
      </c>
      <c r="G857" s="3"/>
      <c r="H857" s="3" t="s">
        <v>4136</v>
      </c>
      <c r="I857" s="4"/>
      <c r="J857" s="4"/>
      <c r="K857" s="4"/>
      <c r="L857" s="4"/>
    </row>
    <row r="858" spans="1:12" x14ac:dyDescent="0.25">
      <c r="A858" s="2" t="str">
        <f>HYPERLINK("https://www.list-org.com/company/14142140","https://www.list-org.com/company/14142140")</f>
        <v>https://www.list-org.com/company/14142140</v>
      </c>
      <c r="B858" s="3" t="s">
        <v>4137</v>
      </c>
      <c r="C858" s="3" t="s">
        <v>4138</v>
      </c>
      <c r="D858" s="3" t="s">
        <v>14</v>
      </c>
      <c r="E858" s="3" t="s">
        <v>4139</v>
      </c>
      <c r="F858" s="3" t="s">
        <v>4140</v>
      </c>
      <c r="G858" s="3"/>
      <c r="H858" s="3" t="s">
        <v>4141</v>
      </c>
      <c r="I858" s="4"/>
      <c r="J858" s="4"/>
      <c r="K858" s="4"/>
      <c r="L858" s="4"/>
    </row>
    <row r="859" spans="1:12" x14ac:dyDescent="0.25">
      <c r="A859" s="2" t="str">
        <f>HYPERLINK("https://www.list-org.com/company/14142310","https://www.list-org.com/company/14142310")</f>
        <v>https://www.list-org.com/company/14142310</v>
      </c>
      <c r="B859" s="3" t="s">
        <v>4142</v>
      </c>
      <c r="C859" s="3" t="s">
        <v>4143</v>
      </c>
      <c r="D859" s="3" t="s">
        <v>14</v>
      </c>
      <c r="E859" s="3" t="s">
        <v>4144</v>
      </c>
      <c r="F859" s="3" t="s">
        <v>4145</v>
      </c>
      <c r="G859" s="3"/>
      <c r="H859" s="3" t="s">
        <v>4146</v>
      </c>
      <c r="I859" s="4"/>
      <c r="J859" s="4"/>
      <c r="K859" s="4"/>
      <c r="L859" s="4"/>
    </row>
    <row r="860" spans="1:12" x14ac:dyDescent="0.25">
      <c r="A860" s="2" t="str">
        <f>HYPERLINK("https://www.list-org.com/company/14142544","https://www.list-org.com/company/14142544")</f>
        <v>https://www.list-org.com/company/14142544</v>
      </c>
      <c r="B860" s="3" t="s">
        <v>4147</v>
      </c>
      <c r="C860" s="3" t="s">
        <v>4148</v>
      </c>
      <c r="D860" s="3" t="s">
        <v>14</v>
      </c>
      <c r="E860" s="3" t="s">
        <v>4149</v>
      </c>
      <c r="F860" s="3" t="s">
        <v>4150</v>
      </c>
      <c r="G860" s="3"/>
      <c r="H860" s="3" t="s">
        <v>395</v>
      </c>
      <c r="I860" s="4"/>
      <c r="J860" s="4"/>
      <c r="K860" s="4"/>
      <c r="L860" s="4"/>
    </row>
    <row r="861" spans="1:12" x14ac:dyDescent="0.25">
      <c r="A861" s="2" t="str">
        <f>HYPERLINK("https://www.list-org.com/company/14142977","https://www.list-org.com/company/14142977")</f>
        <v>https://www.list-org.com/company/14142977</v>
      </c>
      <c r="B861" s="3" t="s">
        <v>4151</v>
      </c>
      <c r="C861" s="3" t="s">
        <v>4152</v>
      </c>
      <c r="D861" s="3" t="s">
        <v>14</v>
      </c>
      <c r="E861" s="3" t="s">
        <v>4153</v>
      </c>
      <c r="F861" s="3" t="s">
        <v>4154</v>
      </c>
      <c r="G861" s="3"/>
      <c r="H861" s="3" t="s">
        <v>4155</v>
      </c>
      <c r="I861" s="4"/>
      <c r="J861" s="4"/>
      <c r="K861" s="4"/>
      <c r="L861" s="4"/>
    </row>
    <row r="862" spans="1:12" x14ac:dyDescent="0.25">
      <c r="A862" s="2" t="str">
        <f>HYPERLINK("https://www.list-org.com/company/14144467","https://www.list-org.com/company/14144467")</f>
        <v>https://www.list-org.com/company/14144467</v>
      </c>
      <c r="B862" s="3" t="s">
        <v>4156</v>
      </c>
      <c r="C862" s="3" t="s">
        <v>4157</v>
      </c>
      <c r="D862" s="3" t="s">
        <v>14</v>
      </c>
      <c r="E862" s="3" t="s">
        <v>4158</v>
      </c>
      <c r="F862" s="3" t="s">
        <v>4159</v>
      </c>
      <c r="G862" s="3"/>
      <c r="H862" s="3" t="s">
        <v>4160</v>
      </c>
      <c r="I862" s="4"/>
      <c r="J862" s="4"/>
      <c r="K862" s="4"/>
      <c r="L862" s="4"/>
    </row>
    <row r="863" spans="1:12" x14ac:dyDescent="0.25">
      <c r="A863" s="2" t="str">
        <f>HYPERLINK("https://www.list-org.com/company/14145644","https://www.list-org.com/company/14145644")</f>
        <v>https://www.list-org.com/company/14145644</v>
      </c>
      <c r="B863" s="3" t="s">
        <v>4161</v>
      </c>
      <c r="C863" s="3" t="s">
        <v>4162</v>
      </c>
      <c r="D863" s="3" t="s">
        <v>14</v>
      </c>
      <c r="E863" s="3" t="s">
        <v>4163</v>
      </c>
      <c r="F863" s="3" t="s">
        <v>4164</v>
      </c>
      <c r="G863" s="3"/>
      <c r="H863" s="3" t="s">
        <v>4165</v>
      </c>
      <c r="I863" s="4"/>
      <c r="J863" s="4"/>
      <c r="K863" s="4"/>
      <c r="L863" s="4"/>
    </row>
    <row r="864" spans="1:12" x14ac:dyDescent="0.25">
      <c r="A864" s="2" t="str">
        <f>HYPERLINK("https://www.list-org.com/company/14145812","https://www.list-org.com/company/14145812")</f>
        <v>https://www.list-org.com/company/14145812</v>
      </c>
      <c r="B864" s="3" t="s">
        <v>4166</v>
      </c>
      <c r="C864" s="3" t="s">
        <v>4167</v>
      </c>
      <c r="D864" s="3" t="s">
        <v>14</v>
      </c>
      <c r="E864" s="3" t="s">
        <v>4168</v>
      </c>
      <c r="F864" s="3" t="s">
        <v>4169</v>
      </c>
      <c r="G864" s="3"/>
      <c r="H864" s="3" t="s">
        <v>4170</v>
      </c>
      <c r="I864" s="4"/>
      <c r="J864" s="4"/>
      <c r="K864" s="4"/>
      <c r="L864" s="4"/>
    </row>
    <row r="865" spans="1:12" x14ac:dyDescent="0.25">
      <c r="A865" s="2" t="str">
        <f>HYPERLINK("https://www.list-org.com/company/14146125","https://www.list-org.com/company/14146125")</f>
        <v>https://www.list-org.com/company/14146125</v>
      </c>
      <c r="B865" s="3" t="s">
        <v>4171</v>
      </c>
      <c r="C865" s="3" t="s">
        <v>4172</v>
      </c>
      <c r="D865" s="3" t="s">
        <v>14</v>
      </c>
      <c r="E865" s="3" t="s">
        <v>4173</v>
      </c>
      <c r="F865" s="3" t="s">
        <v>4174</v>
      </c>
      <c r="G865" s="3"/>
      <c r="H865" s="3" t="s">
        <v>4175</v>
      </c>
      <c r="I865" s="4"/>
      <c r="J865" s="4"/>
      <c r="K865" s="4"/>
      <c r="L865" s="4"/>
    </row>
    <row r="866" spans="1:12" x14ac:dyDescent="0.25">
      <c r="A866" s="2" t="str">
        <f>HYPERLINK("https://www.list-org.com/company/14146414","https://www.list-org.com/company/14146414")</f>
        <v>https://www.list-org.com/company/14146414</v>
      </c>
      <c r="B866" s="3" t="s">
        <v>4176</v>
      </c>
      <c r="C866" s="3" t="s">
        <v>4177</v>
      </c>
      <c r="D866" s="3" t="s">
        <v>14</v>
      </c>
      <c r="E866" s="3" t="s">
        <v>4178</v>
      </c>
      <c r="F866" s="3" t="s">
        <v>4179</v>
      </c>
      <c r="G866" s="3"/>
      <c r="H866" s="3" t="s">
        <v>4180</v>
      </c>
      <c r="I866" s="4"/>
      <c r="J866" s="4"/>
      <c r="K866" s="4"/>
      <c r="L866" s="4"/>
    </row>
    <row r="867" spans="1:12" x14ac:dyDescent="0.25">
      <c r="A867" s="2" t="str">
        <f>HYPERLINK("https://www.list-org.com/company/14147953","https://www.list-org.com/company/14147953")</f>
        <v>https://www.list-org.com/company/14147953</v>
      </c>
      <c r="B867" s="3" t="s">
        <v>1981</v>
      </c>
      <c r="C867" s="3" t="s">
        <v>1982</v>
      </c>
      <c r="D867" s="3" t="s">
        <v>14</v>
      </c>
      <c r="E867" s="3" t="s">
        <v>4181</v>
      </c>
      <c r="F867" s="3" t="s">
        <v>4182</v>
      </c>
      <c r="G867" s="3"/>
      <c r="H867" s="3" t="s">
        <v>4183</v>
      </c>
      <c r="I867" s="4"/>
      <c r="J867" s="4"/>
      <c r="K867" s="4"/>
      <c r="L867" s="4"/>
    </row>
    <row r="868" spans="1:12" x14ac:dyDescent="0.25">
      <c r="A868" s="2" t="str">
        <f>HYPERLINK("https://www.list-org.com/company/14148256","https://www.list-org.com/company/14148256")</f>
        <v>https://www.list-org.com/company/14148256</v>
      </c>
      <c r="B868" s="3" t="s">
        <v>4184</v>
      </c>
      <c r="C868" s="3" t="s">
        <v>4185</v>
      </c>
      <c r="D868" s="3" t="s">
        <v>14</v>
      </c>
      <c r="E868" s="3" t="s">
        <v>4186</v>
      </c>
      <c r="F868" s="3" t="s">
        <v>4187</v>
      </c>
      <c r="G868" s="3"/>
      <c r="H868" s="3" t="s">
        <v>3707</v>
      </c>
      <c r="I868" s="4"/>
      <c r="J868" s="4"/>
      <c r="K868" s="4"/>
      <c r="L868" s="4"/>
    </row>
    <row r="869" spans="1:12" x14ac:dyDescent="0.25">
      <c r="A869" s="2" t="str">
        <f>HYPERLINK("https://www.list-org.com/company/14150224","https://www.list-org.com/company/14150224")</f>
        <v>https://www.list-org.com/company/14150224</v>
      </c>
      <c r="B869" s="3" t="s">
        <v>4188</v>
      </c>
      <c r="C869" s="3" t="s">
        <v>4189</v>
      </c>
      <c r="D869" s="3" t="s">
        <v>14</v>
      </c>
      <c r="E869" s="3" t="s">
        <v>4190</v>
      </c>
      <c r="F869" s="3" t="s">
        <v>4191</v>
      </c>
      <c r="G869" s="3"/>
      <c r="H869" s="3" t="s">
        <v>4192</v>
      </c>
      <c r="I869" s="4"/>
      <c r="J869" s="4">
        <v>65639</v>
      </c>
      <c r="K869" s="4">
        <v>87</v>
      </c>
      <c r="L869" s="4">
        <v>216</v>
      </c>
    </row>
    <row r="870" spans="1:12" x14ac:dyDescent="0.25">
      <c r="A870" s="2" t="str">
        <f>HYPERLINK("https://www.list-org.com/company/14151171","https://www.list-org.com/company/14151171")</f>
        <v>https://www.list-org.com/company/14151171</v>
      </c>
      <c r="B870" s="3" t="s">
        <v>4193</v>
      </c>
      <c r="C870" s="3" t="s">
        <v>4194</v>
      </c>
      <c r="D870" s="3" t="s">
        <v>14</v>
      </c>
      <c r="E870" s="3" t="s">
        <v>4195</v>
      </c>
      <c r="F870" s="3" t="s">
        <v>4196</v>
      </c>
      <c r="G870" s="3"/>
      <c r="H870" s="3" t="s">
        <v>4197</v>
      </c>
      <c r="I870" s="4"/>
      <c r="J870" s="4"/>
      <c r="K870" s="4"/>
      <c r="L870" s="4"/>
    </row>
    <row r="871" spans="1:12" x14ac:dyDescent="0.25">
      <c r="A871" s="2" t="str">
        <f>HYPERLINK("https://www.list-org.com/company/14151713","https://www.list-org.com/company/14151713")</f>
        <v>https://www.list-org.com/company/14151713</v>
      </c>
      <c r="B871" s="3" t="s">
        <v>4198</v>
      </c>
      <c r="C871" s="3" t="s">
        <v>4199</v>
      </c>
      <c r="D871" s="3" t="s">
        <v>14</v>
      </c>
      <c r="E871" s="3" t="s">
        <v>4200</v>
      </c>
      <c r="F871" s="3" t="s">
        <v>4201</v>
      </c>
      <c r="G871" s="3"/>
      <c r="H871" s="3" t="s">
        <v>4202</v>
      </c>
      <c r="I871" s="4"/>
      <c r="J871" s="4"/>
      <c r="K871" s="4"/>
      <c r="L871" s="4"/>
    </row>
    <row r="872" spans="1:12" x14ac:dyDescent="0.25">
      <c r="A872" s="2" t="str">
        <f>HYPERLINK("https://www.list-org.com/company/14152521","https://www.list-org.com/company/14152521")</f>
        <v>https://www.list-org.com/company/14152521</v>
      </c>
      <c r="B872" s="3" t="s">
        <v>4203</v>
      </c>
      <c r="C872" s="3" t="s">
        <v>4204</v>
      </c>
      <c r="D872" s="3" t="s">
        <v>14</v>
      </c>
      <c r="E872" s="3" t="s">
        <v>4205</v>
      </c>
      <c r="F872" s="3" t="s">
        <v>4206</v>
      </c>
      <c r="G872" s="3"/>
      <c r="H872" s="3" t="s">
        <v>4207</v>
      </c>
      <c r="I872" s="4"/>
      <c r="J872" s="4"/>
      <c r="K872" s="4"/>
      <c r="L872" s="4"/>
    </row>
    <row r="873" spans="1:12" x14ac:dyDescent="0.25">
      <c r="A873" s="2" t="str">
        <f>HYPERLINK("https://www.list-org.com/company/14153185","https://www.list-org.com/company/14153185")</f>
        <v>https://www.list-org.com/company/14153185</v>
      </c>
      <c r="B873" s="3" t="s">
        <v>4208</v>
      </c>
      <c r="C873" s="3" t="s">
        <v>4209</v>
      </c>
      <c r="D873" s="3" t="s">
        <v>14</v>
      </c>
      <c r="E873" s="3" t="s">
        <v>4210</v>
      </c>
      <c r="F873" s="3" t="s">
        <v>4211</v>
      </c>
      <c r="G873" s="3"/>
      <c r="H873" s="3" t="s">
        <v>4212</v>
      </c>
      <c r="I873" s="4"/>
      <c r="J873" s="4"/>
      <c r="K873" s="4"/>
      <c r="L873" s="4"/>
    </row>
    <row r="874" spans="1:12" x14ac:dyDescent="0.25">
      <c r="A874" s="2" t="str">
        <f>HYPERLINK("https://www.list-org.com/company/14153359","https://www.list-org.com/company/14153359")</f>
        <v>https://www.list-org.com/company/14153359</v>
      </c>
      <c r="B874" s="3" t="s">
        <v>4213</v>
      </c>
      <c r="C874" s="3" t="s">
        <v>4214</v>
      </c>
      <c r="D874" s="3" t="s">
        <v>14</v>
      </c>
      <c r="E874" s="3" t="s">
        <v>4215</v>
      </c>
      <c r="F874" s="3" t="s">
        <v>4216</v>
      </c>
      <c r="G874" s="3"/>
      <c r="H874" s="3" t="s">
        <v>4217</v>
      </c>
      <c r="I874" s="4"/>
      <c r="J874" s="4"/>
      <c r="K874" s="4"/>
      <c r="L874" s="4"/>
    </row>
    <row r="875" spans="1:12" x14ac:dyDescent="0.25">
      <c r="A875" s="2" t="str">
        <f>HYPERLINK("https://www.list-org.com/company/14153654","https://www.list-org.com/company/14153654")</f>
        <v>https://www.list-org.com/company/14153654</v>
      </c>
      <c r="B875" s="3" t="s">
        <v>4218</v>
      </c>
      <c r="C875" s="3" t="s">
        <v>4219</v>
      </c>
      <c r="D875" s="3" t="s">
        <v>14</v>
      </c>
      <c r="E875" s="3" t="s">
        <v>4220</v>
      </c>
      <c r="F875" s="3" t="s">
        <v>4221</v>
      </c>
      <c r="G875" s="3"/>
      <c r="H875" s="3" t="s">
        <v>4222</v>
      </c>
      <c r="I875" s="4"/>
      <c r="J875" s="4"/>
      <c r="K875" s="4"/>
      <c r="L875" s="4"/>
    </row>
    <row r="876" spans="1:12" x14ac:dyDescent="0.25">
      <c r="A876" s="2" t="str">
        <f>HYPERLINK("https://www.list-org.com/company/14153971","https://www.list-org.com/company/14153971")</f>
        <v>https://www.list-org.com/company/14153971</v>
      </c>
      <c r="B876" s="3" t="s">
        <v>4223</v>
      </c>
      <c r="C876" s="3" t="s">
        <v>4224</v>
      </c>
      <c r="D876" s="3" t="s">
        <v>14</v>
      </c>
      <c r="E876" s="3" t="s">
        <v>4225</v>
      </c>
      <c r="F876" s="3" t="s">
        <v>4226</v>
      </c>
      <c r="G876" s="3"/>
      <c r="H876" s="3" t="s">
        <v>4227</v>
      </c>
      <c r="I876" s="4"/>
      <c r="J876" s="4"/>
      <c r="K876" s="4"/>
      <c r="L876" s="4"/>
    </row>
    <row r="877" spans="1:12" x14ac:dyDescent="0.25">
      <c r="A877" s="2" t="str">
        <f>HYPERLINK("https://www.list-org.com/company/14154305","https://www.list-org.com/company/14154305")</f>
        <v>https://www.list-org.com/company/14154305</v>
      </c>
      <c r="B877" s="3" t="s">
        <v>4228</v>
      </c>
      <c r="C877" s="3" t="s">
        <v>4229</v>
      </c>
      <c r="D877" s="3" t="s">
        <v>14</v>
      </c>
      <c r="E877" s="3" t="s">
        <v>4230</v>
      </c>
      <c r="F877" s="3" t="s">
        <v>4231</v>
      </c>
      <c r="G877" s="3"/>
      <c r="H877" s="3" t="s">
        <v>4232</v>
      </c>
      <c r="I877" s="4"/>
      <c r="J877" s="4"/>
      <c r="K877" s="4"/>
      <c r="L877" s="4"/>
    </row>
    <row r="878" spans="1:12" x14ac:dyDescent="0.25">
      <c r="A878" s="2" t="str">
        <f>HYPERLINK("https://www.list-org.com/company/14156569","https://www.list-org.com/company/14156569")</f>
        <v>https://www.list-org.com/company/14156569</v>
      </c>
      <c r="B878" s="3" t="s">
        <v>4233</v>
      </c>
      <c r="C878" s="3" t="s">
        <v>4234</v>
      </c>
      <c r="D878" s="3" t="s">
        <v>14</v>
      </c>
      <c r="E878" s="3" t="s">
        <v>4235</v>
      </c>
      <c r="F878" s="3" t="s">
        <v>4236</v>
      </c>
      <c r="G878" s="3"/>
      <c r="H878" s="3" t="s">
        <v>4237</v>
      </c>
      <c r="I878" s="4"/>
      <c r="J878" s="4"/>
      <c r="K878" s="4"/>
      <c r="L878" s="4">
        <v>10</v>
      </c>
    </row>
    <row r="879" spans="1:12" x14ac:dyDescent="0.25">
      <c r="A879" s="2" t="str">
        <f>HYPERLINK("https://www.list-org.com/company/14159374","https://www.list-org.com/company/14159374")</f>
        <v>https://www.list-org.com/company/14159374</v>
      </c>
      <c r="B879" s="3" t="s">
        <v>4238</v>
      </c>
      <c r="C879" s="3" t="s">
        <v>4239</v>
      </c>
      <c r="D879" s="3" t="s">
        <v>14</v>
      </c>
      <c r="E879" s="3" t="s">
        <v>4240</v>
      </c>
      <c r="F879" s="3" t="s">
        <v>4241</v>
      </c>
      <c r="G879" s="3"/>
      <c r="H879" s="3" t="s">
        <v>4242</v>
      </c>
      <c r="I879" s="4"/>
      <c r="J879" s="4"/>
      <c r="K879" s="4"/>
      <c r="L879" s="4"/>
    </row>
    <row r="880" spans="1:12" x14ac:dyDescent="0.25">
      <c r="A880" s="2" t="str">
        <f>HYPERLINK("https://www.list-org.com/company/14161689","https://www.list-org.com/company/14161689")</f>
        <v>https://www.list-org.com/company/14161689</v>
      </c>
      <c r="B880" s="3" t="s">
        <v>4243</v>
      </c>
      <c r="C880" s="3" t="s">
        <v>4244</v>
      </c>
      <c r="D880" s="3" t="s">
        <v>14</v>
      </c>
      <c r="E880" s="3" t="s">
        <v>4245</v>
      </c>
      <c r="F880" s="3" t="s">
        <v>4246</v>
      </c>
      <c r="G880" s="3"/>
      <c r="H880" s="3" t="s">
        <v>4247</v>
      </c>
      <c r="I880" s="4"/>
      <c r="J880" s="4"/>
      <c r="K880" s="4"/>
      <c r="L880" s="4"/>
    </row>
    <row r="881" spans="1:12" x14ac:dyDescent="0.25">
      <c r="A881" s="2" t="str">
        <f>HYPERLINK("https://www.list-org.com/company/14162685","https://www.list-org.com/company/14162685")</f>
        <v>https://www.list-org.com/company/14162685</v>
      </c>
      <c r="B881" s="3" t="s">
        <v>4248</v>
      </c>
      <c r="C881" s="3" t="s">
        <v>4249</v>
      </c>
      <c r="D881" s="3" t="s">
        <v>14</v>
      </c>
      <c r="E881" s="3" t="s">
        <v>4250</v>
      </c>
      <c r="F881" s="3" t="s">
        <v>4251</v>
      </c>
      <c r="G881" s="3"/>
      <c r="H881" s="3" t="s">
        <v>4252</v>
      </c>
      <c r="I881" s="4"/>
      <c r="J881" s="4"/>
      <c r="K881" s="4"/>
      <c r="L881" s="4"/>
    </row>
    <row r="882" spans="1:12" x14ac:dyDescent="0.25">
      <c r="A882" s="2" t="str">
        <f>HYPERLINK("https://www.list-org.com/company/14164060","https://www.list-org.com/company/14164060")</f>
        <v>https://www.list-org.com/company/14164060</v>
      </c>
      <c r="B882" s="3" t="s">
        <v>4253</v>
      </c>
      <c r="C882" s="3" t="s">
        <v>4254</v>
      </c>
      <c r="D882" s="3" t="s">
        <v>14</v>
      </c>
      <c r="E882" s="3" t="s">
        <v>4255</v>
      </c>
      <c r="F882" s="3" t="s">
        <v>4256</v>
      </c>
      <c r="G882" s="3"/>
      <c r="H882" s="3" t="s">
        <v>4257</v>
      </c>
      <c r="I882" s="4"/>
      <c r="J882" s="4"/>
      <c r="K882" s="4"/>
      <c r="L882" s="4"/>
    </row>
    <row r="883" spans="1:12" x14ac:dyDescent="0.25">
      <c r="A883" s="2" t="str">
        <f>HYPERLINK("https://www.list-org.com/company/14164283","https://www.list-org.com/company/14164283")</f>
        <v>https://www.list-org.com/company/14164283</v>
      </c>
      <c r="B883" s="3" t="s">
        <v>4258</v>
      </c>
      <c r="C883" s="3" t="s">
        <v>4259</v>
      </c>
      <c r="D883" s="3" t="s">
        <v>14</v>
      </c>
      <c r="E883" s="3" t="s">
        <v>4260</v>
      </c>
      <c r="F883" s="3" t="s">
        <v>4261</v>
      </c>
      <c r="G883" s="3"/>
      <c r="H883" s="3" t="s">
        <v>4262</v>
      </c>
      <c r="I883" s="4"/>
      <c r="J883" s="4"/>
      <c r="K883" s="4"/>
      <c r="L883" s="4"/>
    </row>
    <row r="884" spans="1:12" x14ac:dyDescent="0.25">
      <c r="A884" s="2" t="str">
        <f>HYPERLINK("https://www.list-org.com/company/14164289","https://www.list-org.com/company/14164289")</f>
        <v>https://www.list-org.com/company/14164289</v>
      </c>
      <c r="B884" s="3" t="s">
        <v>4263</v>
      </c>
      <c r="C884" s="3" t="s">
        <v>4264</v>
      </c>
      <c r="D884" s="3" t="s">
        <v>14</v>
      </c>
      <c r="E884" s="3" t="s">
        <v>4265</v>
      </c>
      <c r="F884" s="3" t="s">
        <v>4266</v>
      </c>
      <c r="G884" s="3"/>
      <c r="H884" s="3" t="s">
        <v>4267</v>
      </c>
      <c r="I884" s="4"/>
      <c r="J884" s="4"/>
      <c r="K884" s="4"/>
      <c r="L884" s="4"/>
    </row>
    <row r="885" spans="1:12" x14ac:dyDescent="0.25">
      <c r="A885" s="2" t="str">
        <f>HYPERLINK("https://www.list-org.com/company/14164598","https://www.list-org.com/company/14164598")</f>
        <v>https://www.list-org.com/company/14164598</v>
      </c>
      <c r="B885" s="3" t="s">
        <v>4268</v>
      </c>
      <c r="C885" s="3" t="s">
        <v>4269</v>
      </c>
      <c r="D885" s="3" t="s">
        <v>14</v>
      </c>
      <c r="E885" s="3" t="s">
        <v>4270</v>
      </c>
      <c r="F885" s="3" t="s">
        <v>4271</v>
      </c>
      <c r="G885" s="3"/>
      <c r="H885" s="3" t="s">
        <v>3635</v>
      </c>
      <c r="I885" s="4"/>
      <c r="J885" s="4"/>
      <c r="K885" s="4"/>
      <c r="L885" s="4"/>
    </row>
    <row r="886" spans="1:12" x14ac:dyDescent="0.25">
      <c r="A886" s="2" t="str">
        <f>HYPERLINK("https://www.list-org.com/company/14165310","https://www.list-org.com/company/14165310")</f>
        <v>https://www.list-org.com/company/14165310</v>
      </c>
      <c r="B886" s="3" t="s">
        <v>4272</v>
      </c>
      <c r="C886" s="3" t="s">
        <v>4273</v>
      </c>
      <c r="D886" s="3" t="s">
        <v>14</v>
      </c>
      <c r="E886" s="3" t="s">
        <v>4274</v>
      </c>
      <c r="F886" s="3" t="s">
        <v>4275</v>
      </c>
      <c r="G886" s="3"/>
      <c r="H886" s="3" t="s">
        <v>602</v>
      </c>
      <c r="I886" s="4"/>
      <c r="J886" s="4"/>
      <c r="K886" s="4"/>
      <c r="L886" s="4"/>
    </row>
    <row r="887" spans="1:12" x14ac:dyDescent="0.25">
      <c r="A887" s="2" t="str">
        <f>HYPERLINK("https://www.list-org.com/company/14165441","https://www.list-org.com/company/14165441")</f>
        <v>https://www.list-org.com/company/14165441</v>
      </c>
      <c r="B887" s="3" t="s">
        <v>4276</v>
      </c>
      <c r="C887" s="3" t="s">
        <v>4277</v>
      </c>
      <c r="D887" s="3" t="s">
        <v>14</v>
      </c>
      <c r="E887" s="3" t="s">
        <v>4278</v>
      </c>
      <c r="F887" s="3" t="s">
        <v>4279</v>
      </c>
      <c r="G887" s="3"/>
      <c r="H887" s="3" t="s">
        <v>4280</v>
      </c>
      <c r="I887" s="4"/>
      <c r="J887" s="4"/>
      <c r="K887" s="4"/>
      <c r="L887" s="4">
        <v>100</v>
      </c>
    </row>
    <row r="888" spans="1:12" x14ac:dyDescent="0.25">
      <c r="A888" s="2" t="str">
        <f>HYPERLINK("https://www.list-org.com/company/14165651","https://www.list-org.com/company/14165651")</f>
        <v>https://www.list-org.com/company/14165651</v>
      </c>
      <c r="B888" s="3" t="s">
        <v>4281</v>
      </c>
      <c r="C888" s="3" t="s">
        <v>4282</v>
      </c>
      <c r="D888" s="3" t="s">
        <v>14</v>
      </c>
      <c r="E888" s="3" t="s">
        <v>4283</v>
      </c>
      <c r="F888" s="3" t="s">
        <v>4284</v>
      </c>
      <c r="G888" s="3"/>
      <c r="H888" s="3" t="s">
        <v>4285</v>
      </c>
      <c r="I888" s="4"/>
      <c r="J888" s="4"/>
      <c r="K888" s="4"/>
      <c r="L888" s="4"/>
    </row>
    <row r="889" spans="1:12" x14ac:dyDescent="0.25">
      <c r="A889" s="2" t="str">
        <f>HYPERLINK("https://www.list-org.com/company/14165732","https://www.list-org.com/company/14165732")</f>
        <v>https://www.list-org.com/company/14165732</v>
      </c>
      <c r="B889" s="3" t="s">
        <v>4286</v>
      </c>
      <c r="C889" s="3" t="s">
        <v>4287</v>
      </c>
      <c r="D889" s="3" t="s">
        <v>14</v>
      </c>
      <c r="E889" s="3" t="s">
        <v>4288</v>
      </c>
      <c r="F889" s="3" t="s">
        <v>4289</v>
      </c>
      <c r="G889" s="3"/>
      <c r="H889" s="3" t="s">
        <v>4290</v>
      </c>
      <c r="I889" s="4"/>
      <c r="J889" s="4"/>
      <c r="K889" s="4"/>
      <c r="L889" s="4"/>
    </row>
    <row r="890" spans="1:12" x14ac:dyDescent="0.25">
      <c r="A890" s="2" t="str">
        <f>HYPERLINK("https://www.list-org.com/company/14165753","https://www.list-org.com/company/14165753")</f>
        <v>https://www.list-org.com/company/14165753</v>
      </c>
      <c r="B890" s="3" t="s">
        <v>4291</v>
      </c>
      <c r="C890" s="3" t="s">
        <v>4292</v>
      </c>
      <c r="D890" s="3" t="s">
        <v>14</v>
      </c>
      <c r="E890" s="3" t="s">
        <v>4293</v>
      </c>
      <c r="F890" s="3" t="s">
        <v>4294</v>
      </c>
      <c r="G890" s="3"/>
      <c r="H890" s="3" t="s">
        <v>4295</v>
      </c>
      <c r="I890" s="4"/>
      <c r="J890" s="4"/>
      <c r="K890" s="4"/>
      <c r="L890" s="4"/>
    </row>
    <row r="891" spans="1:12" x14ac:dyDescent="0.25">
      <c r="A891" s="2" t="str">
        <f>HYPERLINK("https://www.list-org.com/company/14165759","https://www.list-org.com/company/14165759")</f>
        <v>https://www.list-org.com/company/14165759</v>
      </c>
      <c r="B891" s="3" t="s">
        <v>4296</v>
      </c>
      <c r="C891" s="3" t="s">
        <v>4297</v>
      </c>
      <c r="D891" s="3" t="s">
        <v>14</v>
      </c>
      <c r="E891" s="3" t="s">
        <v>4298</v>
      </c>
      <c r="F891" s="3" t="s">
        <v>4299</v>
      </c>
      <c r="G891" s="3"/>
      <c r="H891" s="3" t="s">
        <v>4300</v>
      </c>
      <c r="I891" s="4"/>
      <c r="J891" s="4"/>
      <c r="K891" s="4"/>
      <c r="L891" s="4"/>
    </row>
    <row r="892" spans="1:12" x14ac:dyDescent="0.25">
      <c r="A892" s="2" t="str">
        <f>HYPERLINK("https://www.list-org.com/company/14165764","https://www.list-org.com/company/14165764")</f>
        <v>https://www.list-org.com/company/14165764</v>
      </c>
      <c r="B892" s="3" t="s">
        <v>4301</v>
      </c>
      <c r="C892" s="3" t="s">
        <v>4302</v>
      </c>
      <c r="D892" s="3" t="s">
        <v>14</v>
      </c>
      <c r="E892" s="3" t="s">
        <v>4303</v>
      </c>
      <c r="F892" s="3" t="s">
        <v>4304</v>
      </c>
      <c r="G892" s="3"/>
      <c r="H892" s="3" t="s">
        <v>4305</v>
      </c>
      <c r="I892" s="4"/>
      <c r="J892" s="4"/>
      <c r="K892" s="4"/>
      <c r="L892" s="4"/>
    </row>
    <row r="893" spans="1:12" x14ac:dyDescent="0.25">
      <c r="A893" s="2" t="str">
        <f>HYPERLINK("https://www.list-org.com/company/14165822","https://www.list-org.com/company/14165822")</f>
        <v>https://www.list-org.com/company/14165822</v>
      </c>
      <c r="B893" s="3" t="s">
        <v>4306</v>
      </c>
      <c r="C893" s="3" t="s">
        <v>4307</v>
      </c>
      <c r="D893" s="3" t="s">
        <v>14</v>
      </c>
      <c r="E893" s="3" t="s">
        <v>4308</v>
      </c>
      <c r="F893" s="3" t="s">
        <v>4309</v>
      </c>
      <c r="G893" s="3"/>
      <c r="H893" s="3" t="s">
        <v>4310</v>
      </c>
      <c r="I893" s="4"/>
      <c r="J893" s="4"/>
      <c r="K893" s="4"/>
      <c r="L893" s="4"/>
    </row>
    <row r="894" spans="1:12" x14ac:dyDescent="0.25">
      <c r="A894" s="2" t="str">
        <f>HYPERLINK("https://www.list-org.com/company/14165951","https://www.list-org.com/company/14165951")</f>
        <v>https://www.list-org.com/company/14165951</v>
      </c>
      <c r="B894" s="3" t="s">
        <v>4311</v>
      </c>
      <c r="C894" s="3" t="s">
        <v>4312</v>
      </c>
      <c r="D894" s="3" t="s">
        <v>14</v>
      </c>
      <c r="E894" s="3" t="s">
        <v>4313</v>
      </c>
      <c r="F894" s="3" t="s">
        <v>4314</v>
      </c>
      <c r="G894" s="3"/>
      <c r="H894" s="3" t="s">
        <v>4315</v>
      </c>
      <c r="I894" s="4"/>
      <c r="J894" s="4"/>
      <c r="K894" s="4"/>
      <c r="L894" s="4"/>
    </row>
    <row r="895" spans="1:12" x14ac:dyDescent="0.25">
      <c r="A895" s="2" t="str">
        <f>HYPERLINK("https://www.list-org.com/company/14166154","https://www.list-org.com/company/14166154")</f>
        <v>https://www.list-org.com/company/14166154</v>
      </c>
      <c r="B895" s="3" t="s">
        <v>4316</v>
      </c>
      <c r="C895" s="3" t="s">
        <v>4317</v>
      </c>
      <c r="D895" s="3" t="s">
        <v>14</v>
      </c>
      <c r="E895" s="3" t="s">
        <v>4318</v>
      </c>
      <c r="F895" s="3" t="s">
        <v>4319</v>
      </c>
      <c r="G895" s="3"/>
      <c r="H895" s="3" t="s">
        <v>4320</v>
      </c>
      <c r="I895" s="4"/>
      <c r="J895" s="4"/>
      <c r="K895" s="4"/>
      <c r="L895" s="4"/>
    </row>
    <row r="896" spans="1:12" x14ac:dyDescent="0.25">
      <c r="A896" s="2" t="str">
        <f>HYPERLINK("https://www.list-org.com/company/14214830","https://www.list-org.com/company/14214830")</f>
        <v>https://www.list-org.com/company/14214830</v>
      </c>
      <c r="B896" s="3" t="s">
        <v>4321</v>
      </c>
      <c r="C896" s="3" t="s">
        <v>4322</v>
      </c>
      <c r="D896" s="3" t="s">
        <v>14</v>
      </c>
      <c r="E896" s="3" t="s">
        <v>4323</v>
      </c>
      <c r="F896" s="3" t="s">
        <v>4324</v>
      </c>
      <c r="G896" s="3"/>
      <c r="H896" s="3" t="s">
        <v>4325</v>
      </c>
      <c r="I896" s="4"/>
      <c r="J896" s="4"/>
      <c r="K896" s="4"/>
      <c r="L896" s="4"/>
    </row>
    <row r="897" spans="1:12" x14ac:dyDescent="0.25">
      <c r="A897" s="2" t="str">
        <f>HYPERLINK("https://www.list-org.com/company/14215164","https://www.list-org.com/company/14215164")</f>
        <v>https://www.list-org.com/company/14215164</v>
      </c>
      <c r="B897" s="3" t="s">
        <v>4326</v>
      </c>
      <c r="C897" s="3" t="s">
        <v>4327</v>
      </c>
      <c r="D897" s="3" t="s">
        <v>14</v>
      </c>
      <c r="E897" s="3" t="s">
        <v>4328</v>
      </c>
      <c r="F897" s="3" t="s">
        <v>4329</v>
      </c>
      <c r="G897" s="3"/>
      <c r="H897" s="3" t="s">
        <v>4330</v>
      </c>
      <c r="I897" s="4"/>
      <c r="J897" s="4"/>
      <c r="K897" s="4"/>
      <c r="L897" s="4"/>
    </row>
    <row r="898" spans="1:12" x14ac:dyDescent="0.25">
      <c r="A898" s="2" t="str">
        <f>HYPERLINK("https://www.list-org.com/company/14216844","https://www.list-org.com/company/14216844")</f>
        <v>https://www.list-org.com/company/14216844</v>
      </c>
      <c r="B898" s="3" t="s">
        <v>4331</v>
      </c>
      <c r="C898" s="3" t="s">
        <v>4332</v>
      </c>
      <c r="D898" s="3" t="s">
        <v>14</v>
      </c>
      <c r="E898" s="3" t="s">
        <v>4333</v>
      </c>
      <c r="F898" s="3" t="s">
        <v>4334</v>
      </c>
      <c r="G898" s="3"/>
      <c r="H898" s="3" t="s">
        <v>4335</v>
      </c>
      <c r="I898" s="4"/>
      <c r="J898" s="4"/>
      <c r="K898" s="4"/>
      <c r="L898" s="4"/>
    </row>
    <row r="899" spans="1:12" x14ac:dyDescent="0.25">
      <c r="A899" s="2" t="str">
        <f>HYPERLINK("https://www.list-org.com/company/14217977","https://www.list-org.com/company/14217977")</f>
        <v>https://www.list-org.com/company/14217977</v>
      </c>
      <c r="B899" s="3" t="s">
        <v>4336</v>
      </c>
      <c r="C899" s="3" t="s">
        <v>4337</v>
      </c>
      <c r="D899" s="3" t="s">
        <v>14</v>
      </c>
      <c r="E899" s="3" t="s">
        <v>4338</v>
      </c>
      <c r="F899" s="3" t="s">
        <v>4339</v>
      </c>
      <c r="G899" s="3"/>
      <c r="H899" s="3" t="s">
        <v>4340</v>
      </c>
      <c r="I899" s="4"/>
      <c r="J899" s="4"/>
      <c r="K899" s="4"/>
      <c r="L899" s="4"/>
    </row>
    <row r="900" spans="1:12" x14ac:dyDescent="0.25">
      <c r="A900" s="2" t="str">
        <f>HYPERLINK("https://www.list-org.com/company/14218934","https://www.list-org.com/company/14218934")</f>
        <v>https://www.list-org.com/company/14218934</v>
      </c>
      <c r="B900" s="3" t="s">
        <v>4341</v>
      </c>
      <c r="C900" s="3" t="s">
        <v>4342</v>
      </c>
      <c r="D900" s="3" t="s">
        <v>14</v>
      </c>
      <c r="E900" s="3" t="s">
        <v>4343</v>
      </c>
      <c r="F900" s="3" t="s">
        <v>4344</v>
      </c>
      <c r="G900" s="3"/>
      <c r="H900" s="3" t="s">
        <v>1496</v>
      </c>
      <c r="I900" s="4"/>
      <c r="J900" s="4"/>
      <c r="K900" s="4"/>
      <c r="L900" s="4"/>
    </row>
    <row r="901" spans="1:12" x14ac:dyDescent="0.25">
      <c r="A901" s="2" t="str">
        <f>HYPERLINK("https://www.list-org.com/company/14219216","https://www.list-org.com/company/14219216")</f>
        <v>https://www.list-org.com/company/14219216</v>
      </c>
      <c r="B901" s="3" t="s">
        <v>4345</v>
      </c>
      <c r="C901" s="3" t="s">
        <v>4346</v>
      </c>
      <c r="D901" s="3" t="s">
        <v>14</v>
      </c>
      <c r="E901" s="3" t="s">
        <v>4347</v>
      </c>
      <c r="F901" s="3" t="s">
        <v>4348</v>
      </c>
      <c r="G901" s="3"/>
      <c r="H901" s="3" t="s">
        <v>4349</v>
      </c>
      <c r="I901" s="4"/>
      <c r="J901" s="4"/>
      <c r="K901" s="4"/>
      <c r="L901" s="4"/>
    </row>
    <row r="902" spans="1:12" x14ac:dyDescent="0.25">
      <c r="A902" s="2" t="str">
        <f>HYPERLINK("https://www.list-org.com/company/14219403","https://www.list-org.com/company/14219403")</f>
        <v>https://www.list-org.com/company/14219403</v>
      </c>
      <c r="B902" s="3" t="s">
        <v>4350</v>
      </c>
      <c r="C902" s="3" t="s">
        <v>4351</v>
      </c>
      <c r="D902" s="3" t="s">
        <v>14</v>
      </c>
      <c r="E902" s="3" t="s">
        <v>4352</v>
      </c>
      <c r="F902" s="3" t="s">
        <v>4353</v>
      </c>
      <c r="G902" s="3"/>
      <c r="H902" s="3" t="s">
        <v>131</v>
      </c>
      <c r="I902" s="4"/>
      <c r="J902" s="4"/>
      <c r="K902" s="4"/>
      <c r="L902" s="4"/>
    </row>
    <row r="903" spans="1:12" x14ac:dyDescent="0.25">
      <c r="A903" s="2" t="str">
        <f>HYPERLINK("https://www.list-org.com/company/14219449","https://www.list-org.com/company/14219449")</f>
        <v>https://www.list-org.com/company/14219449</v>
      </c>
      <c r="B903" s="3" t="s">
        <v>4354</v>
      </c>
      <c r="C903" s="3" t="s">
        <v>4355</v>
      </c>
      <c r="D903" s="3" t="s">
        <v>14</v>
      </c>
      <c r="E903" s="3" t="s">
        <v>4356</v>
      </c>
      <c r="F903" s="3" t="s">
        <v>4357</v>
      </c>
      <c r="G903" s="3"/>
      <c r="H903" s="3" t="s">
        <v>4358</v>
      </c>
      <c r="I903" s="4"/>
      <c r="J903" s="4"/>
      <c r="K903" s="4"/>
      <c r="L903" s="4"/>
    </row>
    <row r="904" spans="1:12" x14ac:dyDescent="0.25">
      <c r="A904" s="2" t="str">
        <f>HYPERLINK("https://www.list-org.com/company/14220669","https://www.list-org.com/company/14220669")</f>
        <v>https://www.list-org.com/company/14220669</v>
      </c>
      <c r="B904" s="3" t="s">
        <v>4359</v>
      </c>
      <c r="C904" s="3" t="s">
        <v>4360</v>
      </c>
      <c r="D904" s="3" t="s">
        <v>14</v>
      </c>
      <c r="E904" s="3" t="s">
        <v>4361</v>
      </c>
      <c r="F904" s="3" t="s">
        <v>4362</v>
      </c>
      <c r="G904" s="3"/>
      <c r="H904" s="3" t="s">
        <v>4363</v>
      </c>
      <c r="I904" s="4"/>
      <c r="J904" s="4"/>
      <c r="K904" s="4"/>
      <c r="L904" s="4"/>
    </row>
    <row r="905" spans="1:12" x14ac:dyDescent="0.25">
      <c r="A905" s="2" t="str">
        <f>HYPERLINK("https://www.list-org.com/company/14220863","https://www.list-org.com/company/14220863")</f>
        <v>https://www.list-org.com/company/14220863</v>
      </c>
      <c r="B905" s="3" t="s">
        <v>4364</v>
      </c>
      <c r="C905" s="3" t="s">
        <v>4365</v>
      </c>
      <c r="D905" s="3" t="s">
        <v>14</v>
      </c>
      <c r="E905" s="3" t="s">
        <v>4366</v>
      </c>
      <c r="F905" s="3" t="s">
        <v>4367</v>
      </c>
      <c r="G905" s="3"/>
      <c r="H905" s="3" t="s">
        <v>1829</v>
      </c>
      <c r="I905" s="4"/>
      <c r="J905" s="4"/>
      <c r="K905" s="4"/>
      <c r="L905" s="4"/>
    </row>
    <row r="906" spans="1:12" x14ac:dyDescent="0.25">
      <c r="A906" s="2" t="str">
        <f>HYPERLINK("https://www.list-org.com/company/14220864","https://www.list-org.com/company/14220864")</f>
        <v>https://www.list-org.com/company/14220864</v>
      </c>
      <c r="B906" s="3" t="s">
        <v>4368</v>
      </c>
      <c r="C906" s="3" t="s">
        <v>4369</v>
      </c>
      <c r="D906" s="3" t="s">
        <v>14</v>
      </c>
      <c r="E906" s="3" t="s">
        <v>4370</v>
      </c>
      <c r="F906" s="3" t="s">
        <v>4371</v>
      </c>
      <c r="G906" s="3"/>
      <c r="H906" s="3" t="s">
        <v>1829</v>
      </c>
      <c r="I906" s="4"/>
      <c r="J906" s="4"/>
      <c r="K906" s="4"/>
      <c r="L906" s="4"/>
    </row>
    <row r="907" spans="1:12" x14ac:dyDescent="0.25">
      <c r="A907" s="2" t="str">
        <f>HYPERLINK("https://www.list-org.com/company/14220929","https://www.list-org.com/company/14220929")</f>
        <v>https://www.list-org.com/company/14220929</v>
      </c>
      <c r="B907" s="3" t="s">
        <v>4372</v>
      </c>
      <c r="C907" s="3" t="s">
        <v>4373</v>
      </c>
      <c r="D907" s="3" t="s">
        <v>14</v>
      </c>
      <c r="E907" s="3" t="s">
        <v>4374</v>
      </c>
      <c r="F907" s="3" t="s">
        <v>4375</v>
      </c>
      <c r="G907" s="3"/>
      <c r="H907" s="3" t="s">
        <v>4376</v>
      </c>
      <c r="I907" s="4"/>
      <c r="J907" s="4"/>
      <c r="K907" s="4"/>
      <c r="L907" s="4"/>
    </row>
    <row r="908" spans="1:12" x14ac:dyDescent="0.25">
      <c r="A908" s="2" t="str">
        <f>HYPERLINK("https://www.list-org.com/company/14221175","https://www.list-org.com/company/14221175")</f>
        <v>https://www.list-org.com/company/14221175</v>
      </c>
      <c r="B908" s="3" t="s">
        <v>4377</v>
      </c>
      <c r="C908" s="3" t="s">
        <v>4378</v>
      </c>
      <c r="D908" s="3" t="s">
        <v>14</v>
      </c>
      <c r="E908" s="3" t="s">
        <v>4379</v>
      </c>
      <c r="F908" s="3" t="s">
        <v>4380</v>
      </c>
      <c r="G908" s="3"/>
      <c r="H908" s="3" t="s">
        <v>4381</v>
      </c>
      <c r="I908" s="4"/>
      <c r="J908" s="4"/>
      <c r="K908" s="4"/>
      <c r="L908" s="4"/>
    </row>
    <row r="909" spans="1:12" x14ac:dyDescent="0.25">
      <c r="A909" s="2" t="str">
        <f>HYPERLINK("https://www.list-org.com/company/14221842","https://www.list-org.com/company/14221842")</f>
        <v>https://www.list-org.com/company/14221842</v>
      </c>
      <c r="B909" s="3" t="s">
        <v>4382</v>
      </c>
      <c r="C909" s="3" t="s">
        <v>4383</v>
      </c>
      <c r="D909" s="3" t="s">
        <v>14</v>
      </c>
      <c r="E909" s="3" t="s">
        <v>4384</v>
      </c>
      <c r="F909" s="3" t="s">
        <v>4385</v>
      </c>
      <c r="G909" s="3"/>
      <c r="H909" s="3" t="s">
        <v>4386</v>
      </c>
      <c r="I909" s="4"/>
      <c r="J909" s="4"/>
      <c r="K909" s="4"/>
      <c r="L909" s="4"/>
    </row>
    <row r="910" spans="1:12" x14ac:dyDescent="0.25">
      <c r="A910" s="2" t="str">
        <f>HYPERLINK("https://www.list-org.com/company/14222146","https://www.list-org.com/company/14222146")</f>
        <v>https://www.list-org.com/company/14222146</v>
      </c>
      <c r="B910" s="3" t="s">
        <v>4387</v>
      </c>
      <c r="C910" s="3" t="s">
        <v>4388</v>
      </c>
      <c r="D910" s="3" t="s">
        <v>14</v>
      </c>
      <c r="E910" s="3" t="s">
        <v>4389</v>
      </c>
      <c r="F910" s="3" t="s">
        <v>4390</v>
      </c>
      <c r="G910" s="3"/>
      <c r="H910" s="3" t="s">
        <v>4391</v>
      </c>
      <c r="I910" s="4"/>
      <c r="J910" s="4"/>
      <c r="K910" s="4">
        <v>-6</v>
      </c>
      <c r="L910" s="4">
        <v>2</v>
      </c>
    </row>
    <row r="911" spans="1:12" x14ac:dyDescent="0.25">
      <c r="A911" s="2" t="str">
        <f>HYPERLINK("https://www.list-org.com/company/14222170","https://www.list-org.com/company/14222170")</f>
        <v>https://www.list-org.com/company/14222170</v>
      </c>
      <c r="B911" s="3" t="s">
        <v>4392</v>
      </c>
      <c r="C911" s="3" t="s">
        <v>4393</v>
      </c>
      <c r="D911" s="3" t="s">
        <v>14</v>
      </c>
      <c r="E911" s="3" t="s">
        <v>4394</v>
      </c>
      <c r="F911" s="3" t="s">
        <v>4395</v>
      </c>
      <c r="G911" s="3"/>
      <c r="H911" s="3" t="s">
        <v>4396</v>
      </c>
      <c r="I911" s="4"/>
      <c r="J911" s="4"/>
      <c r="K911" s="4"/>
      <c r="L911" s="4"/>
    </row>
    <row r="912" spans="1:12" x14ac:dyDescent="0.25">
      <c r="A912" s="2" t="str">
        <f>HYPERLINK("https://www.list-org.com/company/14222840","https://www.list-org.com/company/14222840")</f>
        <v>https://www.list-org.com/company/14222840</v>
      </c>
      <c r="B912" s="3" t="s">
        <v>4397</v>
      </c>
      <c r="C912" s="3" t="s">
        <v>4398</v>
      </c>
      <c r="D912" s="3" t="s">
        <v>14</v>
      </c>
      <c r="E912" s="3" t="s">
        <v>4399</v>
      </c>
      <c r="F912" s="3" t="s">
        <v>4400</v>
      </c>
      <c r="G912" s="3"/>
      <c r="H912" s="3" t="s">
        <v>1819</v>
      </c>
      <c r="I912" s="4"/>
      <c r="J912" s="4"/>
      <c r="K912" s="4"/>
      <c r="L912" s="4"/>
    </row>
    <row r="913" spans="1:12" x14ac:dyDescent="0.25">
      <c r="A913" s="2" t="str">
        <f>HYPERLINK("https://www.list-org.com/company/14222940","https://www.list-org.com/company/14222940")</f>
        <v>https://www.list-org.com/company/14222940</v>
      </c>
      <c r="B913" s="3" t="s">
        <v>4401</v>
      </c>
      <c r="C913" s="3" t="s">
        <v>4402</v>
      </c>
      <c r="D913" s="3" t="s">
        <v>14</v>
      </c>
      <c r="E913" s="3" t="s">
        <v>4403</v>
      </c>
      <c r="F913" s="3" t="s">
        <v>4404</v>
      </c>
      <c r="G913" s="3"/>
      <c r="H913" s="3" t="s">
        <v>4405</v>
      </c>
      <c r="I913" s="4"/>
      <c r="J913" s="4"/>
      <c r="K913" s="4"/>
      <c r="L913" s="4"/>
    </row>
    <row r="914" spans="1:12" x14ac:dyDescent="0.25">
      <c r="A914" s="2" t="str">
        <f>HYPERLINK("https://www.list-org.com/company/14223897","https://www.list-org.com/company/14223897")</f>
        <v>https://www.list-org.com/company/14223897</v>
      </c>
      <c r="B914" s="3" t="s">
        <v>4406</v>
      </c>
      <c r="C914" s="3" t="s">
        <v>4407</v>
      </c>
      <c r="D914" s="3" t="s">
        <v>14</v>
      </c>
      <c r="E914" s="3" t="s">
        <v>4408</v>
      </c>
      <c r="F914" s="3" t="s">
        <v>4409</v>
      </c>
      <c r="G914" s="3"/>
      <c r="H914" s="3" t="s">
        <v>4410</v>
      </c>
      <c r="I914" s="4"/>
      <c r="J914" s="4"/>
      <c r="K914" s="4"/>
      <c r="L914" s="4"/>
    </row>
    <row r="915" spans="1:12" x14ac:dyDescent="0.25">
      <c r="A915" s="2" t="str">
        <f>HYPERLINK("https://www.list-org.com/company/14224440","https://www.list-org.com/company/14224440")</f>
        <v>https://www.list-org.com/company/14224440</v>
      </c>
      <c r="B915" s="3" t="s">
        <v>4411</v>
      </c>
      <c r="C915" s="3" t="s">
        <v>4412</v>
      </c>
      <c r="D915" s="3" t="s">
        <v>14</v>
      </c>
      <c r="E915" s="3" t="s">
        <v>4413</v>
      </c>
      <c r="F915" s="3" t="s">
        <v>4414</v>
      </c>
      <c r="G915" s="3"/>
      <c r="H915" s="3" t="s">
        <v>4020</v>
      </c>
      <c r="I915" s="4"/>
      <c r="J915" s="4"/>
      <c r="K915" s="4"/>
      <c r="L915" s="4"/>
    </row>
    <row r="916" spans="1:12" x14ac:dyDescent="0.25">
      <c r="A916" s="2" t="str">
        <f>HYPERLINK("https://www.list-org.com/company/14224470","https://www.list-org.com/company/14224470")</f>
        <v>https://www.list-org.com/company/14224470</v>
      </c>
      <c r="B916" s="3" t="s">
        <v>4415</v>
      </c>
      <c r="C916" s="3" t="s">
        <v>4416</v>
      </c>
      <c r="D916" s="3" t="s">
        <v>14</v>
      </c>
      <c r="E916" s="3" t="s">
        <v>4417</v>
      </c>
      <c r="F916" s="3" t="s">
        <v>4418</v>
      </c>
      <c r="G916" s="3"/>
      <c r="H916" s="3" t="s">
        <v>4419</v>
      </c>
      <c r="I916" s="4"/>
      <c r="J916" s="4"/>
      <c r="K916" s="4"/>
      <c r="L916" s="4"/>
    </row>
    <row r="917" spans="1:12" x14ac:dyDescent="0.25">
      <c r="A917" s="2" t="str">
        <f>HYPERLINK("https://www.list-org.com/company/14225835","https://www.list-org.com/company/14225835")</f>
        <v>https://www.list-org.com/company/14225835</v>
      </c>
      <c r="B917" s="3" t="s">
        <v>4420</v>
      </c>
      <c r="C917" s="3" t="s">
        <v>4421</v>
      </c>
      <c r="D917" s="3" t="s">
        <v>14</v>
      </c>
      <c r="E917" s="3" t="s">
        <v>4422</v>
      </c>
      <c r="F917" s="3" t="s">
        <v>4423</v>
      </c>
      <c r="G917" s="3"/>
      <c r="H917" s="3" t="s">
        <v>4424</v>
      </c>
      <c r="I917" s="4"/>
      <c r="J917" s="4"/>
      <c r="K917" s="4"/>
      <c r="L917" s="4"/>
    </row>
    <row r="918" spans="1:12" x14ac:dyDescent="0.25">
      <c r="A918" s="2" t="str">
        <f>HYPERLINK("https://www.list-org.com/company/14226379","https://www.list-org.com/company/14226379")</f>
        <v>https://www.list-org.com/company/14226379</v>
      </c>
      <c r="B918" s="3" t="s">
        <v>4425</v>
      </c>
      <c r="C918" s="3" t="s">
        <v>4426</v>
      </c>
      <c r="D918" s="3" t="s">
        <v>14</v>
      </c>
      <c r="E918" s="3" t="s">
        <v>4427</v>
      </c>
      <c r="F918" s="3" t="s">
        <v>4428</v>
      </c>
      <c r="G918" s="3"/>
      <c r="H918" s="3" t="s">
        <v>1824</v>
      </c>
      <c r="I918" s="4"/>
      <c r="J918" s="4"/>
      <c r="K918" s="4"/>
      <c r="L918" s="4"/>
    </row>
    <row r="919" spans="1:12" x14ac:dyDescent="0.25">
      <c r="A919" s="2" t="str">
        <f>HYPERLINK("https://www.list-org.com/company/14227171","https://www.list-org.com/company/14227171")</f>
        <v>https://www.list-org.com/company/14227171</v>
      </c>
      <c r="B919" s="3" t="s">
        <v>4429</v>
      </c>
      <c r="C919" s="3" t="s">
        <v>4430</v>
      </c>
      <c r="D919" s="3" t="s">
        <v>14</v>
      </c>
      <c r="E919" s="3" t="s">
        <v>4431</v>
      </c>
      <c r="F919" s="3" t="s">
        <v>4432</v>
      </c>
      <c r="G919" s="3"/>
      <c r="H919" s="3" t="s">
        <v>4433</v>
      </c>
      <c r="I919" s="4"/>
      <c r="J919" s="4">
        <v>4541</v>
      </c>
      <c r="K919" s="4">
        <v>-76</v>
      </c>
      <c r="L919" s="4">
        <v>-69</v>
      </c>
    </row>
    <row r="920" spans="1:12" x14ac:dyDescent="0.25">
      <c r="A920" s="2" t="str">
        <f>HYPERLINK("https://www.list-org.com/company/14228364","https://www.list-org.com/company/14228364")</f>
        <v>https://www.list-org.com/company/14228364</v>
      </c>
      <c r="B920" s="3" t="s">
        <v>4434</v>
      </c>
      <c r="C920" s="3" t="s">
        <v>4435</v>
      </c>
      <c r="D920" s="3" t="s">
        <v>14</v>
      </c>
      <c r="E920" s="3" t="s">
        <v>4436</v>
      </c>
      <c r="F920" s="3" t="s">
        <v>4437</v>
      </c>
      <c r="G920" s="3"/>
      <c r="H920" s="3" t="s">
        <v>3320</v>
      </c>
      <c r="I920" s="4"/>
      <c r="J920" s="4"/>
      <c r="K920" s="4"/>
      <c r="L920" s="4"/>
    </row>
    <row r="921" spans="1:12" x14ac:dyDescent="0.25">
      <c r="A921" s="2" t="str">
        <f>HYPERLINK("https://www.list-org.com/company/14228610","https://www.list-org.com/company/14228610")</f>
        <v>https://www.list-org.com/company/14228610</v>
      </c>
      <c r="B921" s="3" t="s">
        <v>4438</v>
      </c>
      <c r="C921" s="3" t="s">
        <v>4439</v>
      </c>
      <c r="D921" s="3" t="s">
        <v>14</v>
      </c>
      <c r="E921" s="3" t="s">
        <v>4440</v>
      </c>
      <c r="F921" s="3" t="s">
        <v>4441</v>
      </c>
      <c r="G921" s="3"/>
      <c r="H921" s="3" t="s">
        <v>3102</v>
      </c>
      <c r="I921" s="4"/>
      <c r="J921" s="4"/>
      <c r="K921" s="4"/>
      <c r="L921" s="4"/>
    </row>
    <row r="922" spans="1:12" x14ac:dyDescent="0.25">
      <c r="A922" s="2" t="str">
        <f>HYPERLINK("https://www.list-org.com/company/14228640","https://www.list-org.com/company/14228640")</f>
        <v>https://www.list-org.com/company/14228640</v>
      </c>
      <c r="B922" s="3" t="s">
        <v>4442</v>
      </c>
      <c r="C922" s="3" t="s">
        <v>4443</v>
      </c>
      <c r="D922" s="3" t="s">
        <v>14</v>
      </c>
      <c r="E922" s="3" t="s">
        <v>4444</v>
      </c>
      <c r="F922" s="3" t="s">
        <v>4445</v>
      </c>
      <c r="G922" s="3"/>
      <c r="H922" s="3" t="s">
        <v>4446</v>
      </c>
      <c r="I922" s="4"/>
      <c r="J922" s="4"/>
      <c r="K922" s="4"/>
      <c r="L922" s="4"/>
    </row>
    <row r="923" spans="1:12" x14ac:dyDescent="0.25">
      <c r="A923" s="2" t="str">
        <f>HYPERLINK("https://www.list-org.com/company/14230296","https://www.list-org.com/company/14230296")</f>
        <v>https://www.list-org.com/company/14230296</v>
      </c>
      <c r="B923" s="3" t="s">
        <v>4447</v>
      </c>
      <c r="C923" s="3" t="s">
        <v>4448</v>
      </c>
      <c r="D923" s="3" t="s">
        <v>14</v>
      </c>
      <c r="E923" s="3" t="s">
        <v>4449</v>
      </c>
      <c r="F923" s="3" t="s">
        <v>4450</v>
      </c>
      <c r="G923" s="3"/>
      <c r="H923" s="3" t="s">
        <v>4451</v>
      </c>
      <c r="I923" s="4"/>
      <c r="J923" s="4"/>
      <c r="K923" s="4"/>
      <c r="L923" s="4"/>
    </row>
    <row r="924" spans="1:12" x14ac:dyDescent="0.25">
      <c r="A924" s="2" t="str">
        <f>HYPERLINK("https://www.list-org.com/company/14230348","https://www.list-org.com/company/14230348")</f>
        <v>https://www.list-org.com/company/14230348</v>
      </c>
      <c r="B924" s="3" t="s">
        <v>4452</v>
      </c>
      <c r="C924" s="3" t="s">
        <v>4453</v>
      </c>
      <c r="D924" s="3" t="s">
        <v>14</v>
      </c>
      <c r="E924" s="3" t="s">
        <v>4454</v>
      </c>
      <c r="F924" s="3" t="s">
        <v>4455</v>
      </c>
      <c r="G924" s="3"/>
      <c r="H924" s="3" t="s">
        <v>4456</v>
      </c>
      <c r="I924" s="4"/>
      <c r="J924" s="4"/>
      <c r="K924" s="4"/>
      <c r="L924" s="4"/>
    </row>
    <row r="925" spans="1:12" x14ac:dyDescent="0.25">
      <c r="A925" s="2" t="str">
        <f>HYPERLINK("https://www.list-org.com/company/14233450","https://www.list-org.com/company/14233450")</f>
        <v>https://www.list-org.com/company/14233450</v>
      </c>
      <c r="B925" s="3" t="s">
        <v>4457</v>
      </c>
      <c r="C925" s="3" t="s">
        <v>4458</v>
      </c>
      <c r="D925" s="3" t="s">
        <v>14</v>
      </c>
      <c r="E925" s="3" t="s">
        <v>4459</v>
      </c>
      <c r="F925" s="3" t="s">
        <v>4460</v>
      </c>
      <c r="G925" s="3"/>
      <c r="H925" s="3" t="s">
        <v>4461</v>
      </c>
      <c r="I925" s="4"/>
      <c r="J925" s="4"/>
      <c r="K925" s="4"/>
      <c r="L925" s="4"/>
    </row>
    <row r="926" spans="1:12" x14ac:dyDescent="0.25">
      <c r="A926" s="2" t="str">
        <f>HYPERLINK("https://www.list-org.com/company/14234381","https://www.list-org.com/company/14234381")</f>
        <v>https://www.list-org.com/company/14234381</v>
      </c>
      <c r="B926" s="3" t="s">
        <v>4462</v>
      </c>
      <c r="C926" s="3" t="s">
        <v>4463</v>
      </c>
      <c r="D926" s="3" t="s">
        <v>14</v>
      </c>
      <c r="E926" s="3" t="s">
        <v>4464</v>
      </c>
      <c r="F926" s="3" t="s">
        <v>4465</v>
      </c>
      <c r="G926" s="3"/>
      <c r="H926" s="3" t="s">
        <v>4466</v>
      </c>
      <c r="I926" s="4"/>
      <c r="J926" s="4"/>
      <c r="K926" s="4"/>
      <c r="L926" s="4"/>
    </row>
    <row r="927" spans="1:12" x14ac:dyDescent="0.25">
      <c r="A927" s="2" t="str">
        <f>HYPERLINK("https://www.list-org.com/company/14236416","https://www.list-org.com/company/14236416")</f>
        <v>https://www.list-org.com/company/14236416</v>
      </c>
      <c r="B927" s="3" t="s">
        <v>4467</v>
      </c>
      <c r="C927" s="3" t="s">
        <v>4468</v>
      </c>
      <c r="D927" s="3" t="s">
        <v>14</v>
      </c>
      <c r="E927" s="3" t="s">
        <v>4469</v>
      </c>
      <c r="F927" s="3" t="s">
        <v>4470</v>
      </c>
      <c r="G927" s="3"/>
      <c r="H927" s="3" t="s">
        <v>4471</v>
      </c>
      <c r="I927" s="4"/>
      <c r="J927" s="4"/>
      <c r="K927" s="4"/>
      <c r="L927" s="4"/>
    </row>
    <row r="928" spans="1:12" x14ac:dyDescent="0.25">
      <c r="A928" s="2" t="str">
        <f>HYPERLINK("https://www.list-org.com/company/14237963","https://www.list-org.com/company/14237963")</f>
        <v>https://www.list-org.com/company/14237963</v>
      </c>
      <c r="B928" s="3" t="s">
        <v>4472</v>
      </c>
      <c r="C928" s="3" t="s">
        <v>4473</v>
      </c>
      <c r="D928" s="3" t="s">
        <v>14</v>
      </c>
      <c r="E928" s="3" t="s">
        <v>4474</v>
      </c>
      <c r="F928" s="3" t="s">
        <v>4475</v>
      </c>
      <c r="G928" s="3"/>
      <c r="H928" s="3" t="s">
        <v>4476</v>
      </c>
      <c r="I928" s="4"/>
      <c r="J928" s="4">
        <v>11680</v>
      </c>
      <c r="K928" s="4">
        <v>2930</v>
      </c>
      <c r="L928" s="4">
        <v>3000</v>
      </c>
    </row>
    <row r="929" spans="1:12" x14ac:dyDescent="0.25">
      <c r="A929" s="2" t="str">
        <f>HYPERLINK("https://www.list-org.com/company/14238539","https://www.list-org.com/company/14238539")</f>
        <v>https://www.list-org.com/company/14238539</v>
      </c>
      <c r="B929" s="3" t="s">
        <v>4477</v>
      </c>
      <c r="C929" s="3" t="s">
        <v>4478</v>
      </c>
      <c r="D929" s="3" t="s">
        <v>14</v>
      </c>
      <c r="E929" s="3" t="s">
        <v>4479</v>
      </c>
      <c r="F929" s="3" t="s">
        <v>4480</v>
      </c>
      <c r="G929" s="3"/>
      <c r="H929" s="3" t="s">
        <v>4481</v>
      </c>
      <c r="I929" s="4"/>
      <c r="J929" s="4"/>
      <c r="K929" s="4"/>
      <c r="L929" s="4"/>
    </row>
    <row r="930" spans="1:12" x14ac:dyDescent="0.25">
      <c r="A930" s="2" t="str">
        <f>HYPERLINK("https://www.list-org.com/company/14239320","https://www.list-org.com/company/14239320")</f>
        <v>https://www.list-org.com/company/14239320</v>
      </c>
      <c r="B930" s="3" t="s">
        <v>4482</v>
      </c>
      <c r="C930" s="3" t="s">
        <v>4483</v>
      </c>
      <c r="D930" s="3" t="s">
        <v>14</v>
      </c>
      <c r="E930" s="3" t="s">
        <v>4484</v>
      </c>
      <c r="F930" s="3" t="s">
        <v>4485</v>
      </c>
      <c r="G930" s="3"/>
      <c r="H930" s="3" t="s">
        <v>4486</v>
      </c>
      <c r="I930" s="4"/>
      <c r="J930" s="4"/>
      <c r="K930" s="4"/>
      <c r="L930" s="4"/>
    </row>
    <row r="931" spans="1:12" x14ac:dyDescent="0.25">
      <c r="A931" s="2" t="str">
        <f>HYPERLINK("https://www.list-org.com/company/14239467","https://www.list-org.com/company/14239467")</f>
        <v>https://www.list-org.com/company/14239467</v>
      </c>
      <c r="B931" s="3" t="s">
        <v>4487</v>
      </c>
      <c r="C931" s="3" t="s">
        <v>4488</v>
      </c>
      <c r="D931" s="3" t="s">
        <v>14</v>
      </c>
      <c r="E931" s="3" t="s">
        <v>4489</v>
      </c>
      <c r="F931" s="3" t="s">
        <v>4490</v>
      </c>
      <c r="G931" s="3"/>
      <c r="H931" s="3" t="s">
        <v>1804</v>
      </c>
      <c r="I931" s="4"/>
      <c r="J931" s="4"/>
      <c r="K931" s="4"/>
      <c r="L931" s="4"/>
    </row>
    <row r="932" spans="1:12" x14ac:dyDescent="0.25">
      <c r="A932" s="2" t="str">
        <f>HYPERLINK("https://www.list-org.com/company/14239995","https://www.list-org.com/company/14239995")</f>
        <v>https://www.list-org.com/company/14239995</v>
      </c>
      <c r="B932" s="3" t="s">
        <v>4491</v>
      </c>
      <c r="C932" s="3" t="s">
        <v>4492</v>
      </c>
      <c r="D932" s="3" t="s">
        <v>14</v>
      </c>
      <c r="E932" s="3" t="s">
        <v>4493</v>
      </c>
      <c r="F932" s="3" t="s">
        <v>4494</v>
      </c>
      <c r="G932" s="3"/>
      <c r="H932" s="3" t="s">
        <v>4495</v>
      </c>
      <c r="I932" s="4"/>
      <c r="J932" s="4"/>
      <c r="K932" s="4"/>
      <c r="L932" s="4"/>
    </row>
    <row r="933" spans="1:12" x14ac:dyDescent="0.25">
      <c r="A933" s="2" t="str">
        <f>HYPERLINK("https://www.list-org.com/company/14240190","https://www.list-org.com/company/14240190")</f>
        <v>https://www.list-org.com/company/14240190</v>
      </c>
      <c r="B933" s="3" t="s">
        <v>4496</v>
      </c>
      <c r="C933" s="3" t="s">
        <v>4497</v>
      </c>
      <c r="D933" s="3" t="s">
        <v>14</v>
      </c>
      <c r="E933" s="3" t="s">
        <v>4498</v>
      </c>
      <c r="F933" s="3" t="s">
        <v>4499</v>
      </c>
      <c r="G933" s="3"/>
      <c r="H933" s="3" t="s">
        <v>1687</v>
      </c>
      <c r="I933" s="4"/>
      <c r="J933" s="4"/>
      <c r="K933" s="4"/>
      <c r="L933" s="4"/>
    </row>
    <row r="934" spans="1:12" x14ac:dyDescent="0.25">
      <c r="A934" s="2" t="str">
        <f>HYPERLINK("https://www.list-org.com/company/14240222","https://www.list-org.com/company/14240222")</f>
        <v>https://www.list-org.com/company/14240222</v>
      </c>
      <c r="B934" s="3" t="s">
        <v>4500</v>
      </c>
      <c r="C934" s="3" t="s">
        <v>4501</v>
      </c>
      <c r="D934" s="3" t="s">
        <v>14</v>
      </c>
      <c r="E934" s="3" t="s">
        <v>4502</v>
      </c>
      <c r="F934" s="3" t="s">
        <v>4503</v>
      </c>
      <c r="G934" s="3"/>
      <c r="H934" s="3" t="s">
        <v>4504</v>
      </c>
      <c r="I934" s="4"/>
      <c r="J934" s="4"/>
      <c r="K934" s="4"/>
      <c r="L934" s="4"/>
    </row>
    <row r="935" spans="1:12" x14ac:dyDescent="0.25">
      <c r="A935" s="2" t="str">
        <f>HYPERLINK("https://www.list-org.com/company/14240249","https://www.list-org.com/company/14240249")</f>
        <v>https://www.list-org.com/company/14240249</v>
      </c>
      <c r="B935" s="3" t="s">
        <v>4505</v>
      </c>
      <c r="C935" s="3" t="s">
        <v>4506</v>
      </c>
      <c r="D935" s="3" t="s">
        <v>14</v>
      </c>
      <c r="E935" s="3" t="s">
        <v>4507</v>
      </c>
      <c r="F935" s="3" t="s">
        <v>4508</v>
      </c>
      <c r="G935" s="3"/>
      <c r="H935" s="3" t="s">
        <v>4509</v>
      </c>
      <c r="I935" s="4"/>
      <c r="J935" s="4"/>
      <c r="K935" s="4"/>
      <c r="L935" s="4"/>
    </row>
    <row r="936" spans="1:12" x14ac:dyDescent="0.25">
      <c r="A936" s="2" t="str">
        <f>HYPERLINK("https://www.list-org.com/company/14240833","https://www.list-org.com/company/14240833")</f>
        <v>https://www.list-org.com/company/14240833</v>
      </c>
      <c r="B936" s="3" t="s">
        <v>4510</v>
      </c>
      <c r="C936" s="3" t="s">
        <v>4511</v>
      </c>
      <c r="D936" s="3" t="s">
        <v>14</v>
      </c>
      <c r="E936" s="3" t="s">
        <v>4512</v>
      </c>
      <c r="F936" s="3" t="s">
        <v>4513</v>
      </c>
      <c r="G936" s="3"/>
      <c r="H936" s="3" t="s">
        <v>4514</v>
      </c>
      <c r="I936" s="4"/>
      <c r="J936" s="4"/>
      <c r="K936" s="4"/>
      <c r="L936" s="4"/>
    </row>
    <row r="937" spans="1:12" x14ac:dyDescent="0.25">
      <c r="A937" s="2" t="str">
        <f>HYPERLINK("https://www.list-org.com/company/14242547","https://www.list-org.com/company/14242547")</f>
        <v>https://www.list-org.com/company/14242547</v>
      </c>
      <c r="B937" s="3" t="s">
        <v>4515</v>
      </c>
      <c r="C937" s="3" t="s">
        <v>4516</v>
      </c>
      <c r="D937" s="3" t="s">
        <v>14</v>
      </c>
      <c r="E937" s="3" t="s">
        <v>4517</v>
      </c>
      <c r="F937" s="3" t="s">
        <v>4518</v>
      </c>
      <c r="G937" s="3"/>
      <c r="H937" s="3" t="s">
        <v>4519</v>
      </c>
      <c r="I937" s="4"/>
      <c r="J937" s="4">
        <v>11923</v>
      </c>
      <c r="K937" s="4">
        <v>1390</v>
      </c>
      <c r="L937" s="4">
        <v>1263</v>
      </c>
    </row>
    <row r="938" spans="1:12" x14ac:dyDescent="0.25">
      <c r="A938" s="2" t="str">
        <f>HYPERLINK("https://www.list-org.com/company/14243065","https://www.list-org.com/company/14243065")</f>
        <v>https://www.list-org.com/company/14243065</v>
      </c>
      <c r="B938" s="3" t="s">
        <v>4520</v>
      </c>
      <c r="C938" s="3" t="s">
        <v>4521</v>
      </c>
      <c r="D938" s="3" t="s">
        <v>14</v>
      </c>
      <c r="E938" s="3" t="s">
        <v>4522</v>
      </c>
      <c r="F938" s="3" t="s">
        <v>4523</v>
      </c>
      <c r="G938" s="3"/>
      <c r="H938" s="3" t="s">
        <v>4524</v>
      </c>
      <c r="I938" s="4"/>
      <c r="J938" s="4"/>
      <c r="K938" s="4"/>
      <c r="L938" s="4"/>
    </row>
    <row r="939" spans="1:12" x14ac:dyDescent="0.25">
      <c r="A939" s="2" t="str">
        <f>HYPERLINK("https://www.list-org.com/company/14243218","https://www.list-org.com/company/14243218")</f>
        <v>https://www.list-org.com/company/14243218</v>
      </c>
      <c r="B939" s="3" t="s">
        <v>4525</v>
      </c>
      <c r="C939" s="3" t="s">
        <v>4526</v>
      </c>
      <c r="D939" s="3" t="s">
        <v>14</v>
      </c>
      <c r="E939" s="3" t="s">
        <v>4527</v>
      </c>
      <c r="F939" s="3" t="s">
        <v>4528</v>
      </c>
      <c r="G939" s="3"/>
      <c r="H939" s="3" t="s">
        <v>4529</v>
      </c>
      <c r="I939" s="4"/>
      <c r="J939" s="4"/>
      <c r="K939" s="4"/>
      <c r="L939" s="4"/>
    </row>
    <row r="940" spans="1:12" x14ac:dyDescent="0.25">
      <c r="A940" s="2" t="str">
        <f>HYPERLINK("https://www.list-org.com/company/14245797","https://www.list-org.com/company/14245797")</f>
        <v>https://www.list-org.com/company/14245797</v>
      </c>
      <c r="B940" s="3" t="s">
        <v>4530</v>
      </c>
      <c r="C940" s="3" t="s">
        <v>4531</v>
      </c>
      <c r="D940" s="3" t="s">
        <v>14</v>
      </c>
      <c r="E940" s="3" t="s">
        <v>4532</v>
      </c>
      <c r="F940" s="3" t="s">
        <v>4533</v>
      </c>
      <c r="G940" s="3"/>
      <c r="H940" s="3" t="s">
        <v>4534</v>
      </c>
      <c r="I940" s="4"/>
      <c r="J940" s="4"/>
      <c r="K940" s="4"/>
      <c r="L940" s="4"/>
    </row>
    <row r="941" spans="1:12" x14ac:dyDescent="0.25">
      <c r="A941" s="2" t="str">
        <f>HYPERLINK("https://www.list-org.com/company/14245829","https://www.list-org.com/company/14245829")</f>
        <v>https://www.list-org.com/company/14245829</v>
      </c>
      <c r="B941" s="3" t="s">
        <v>4535</v>
      </c>
      <c r="C941" s="3" t="s">
        <v>4536</v>
      </c>
      <c r="D941" s="3" t="s">
        <v>14</v>
      </c>
      <c r="E941" s="3" t="s">
        <v>4537</v>
      </c>
      <c r="F941" s="3" t="s">
        <v>4538</v>
      </c>
      <c r="G941" s="3"/>
      <c r="H941" s="3" t="s">
        <v>711</v>
      </c>
      <c r="I941" s="4"/>
      <c r="J941" s="4"/>
      <c r="K941" s="4"/>
      <c r="L941" s="4"/>
    </row>
    <row r="942" spans="1:12" x14ac:dyDescent="0.25">
      <c r="A942" s="2" t="str">
        <f>HYPERLINK("https://www.list-org.com/company/14245838","https://www.list-org.com/company/14245838")</f>
        <v>https://www.list-org.com/company/14245838</v>
      </c>
      <c r="B942" s="3" t="s">
        <v>4539</v>
      </c>
      <c r="C942" s="3" t="s">
        <v>4540</v>
      </c>
      <c r="D942" s="3" t="s">
        <v>14</v>
      </c>
      <c r="E942" s="3" t="s">
        <v>4541</v>
      </c>
      <c r="F942" s="3" t="s">
        <v>4542</v>
      </c>
      <c r="G942" s="3"/>
      <c r="H942" s="3" t="s">
        <v>4543</v>
      </c>
      <c r="I942" s="4"/>
      <c r="J942" s="4"/>
      <c r="K942" s="4"/>
      <c r="L942" s="4"/>
    </row>
    <row r="943" spans="1:12" x14ac:dyDescent="0.25">
      <c r="A943" s="2" t="str">
        <f>HYPERLINK("https://www.list-org.com/company/14246001","https://www.list-org.com/company/14246001")</f>
        <v>https://www.list-org.com/company/14246001</v>
      </c>
      <c r="B943" s="3" t="s">
        <v>4544</v>
      </c>
      <c r="C943" s="3" t="s">
        <v>4545</v>
      </c>
      <c r="D943" s="3" t="s">
        <v>14</v>
      </c>
      <c r="E943" s="3" t="s">
        <v>4546</v>
      </c>
      <c r="F943" s="3" t="s">
        <v>4547</v>
      </c>
      <c r="G943" s="3"/>
      <c r="H943" s="3" t="s">
        <v>4548</v>
      </c>
      <c r="I943" s="4"/>
      <c r="J943" s="4"/>
      <c r="K943" s="4"/>
      <c r="L943" s="4"/>
    </row>
    <row r="944" spans="1:12" x14ac:dyDescent="0.25">
      <c r="A944" s="2" t="str">
        <f>HYPERLINK("https://www.list-org.com/company/14247333","https://www.list-org.com/company/14247333")</f>
        <v>https://www.list-org.com/company/14247333</v>
      </c>
      <c r="B944" s="3" t="s">
        <v>4549</v>
      </c>
      <c r="C944" s="3" t="s">
        <v>4550</v>
      </c>
      <c r="D944" s="3" t="s">
        <v>14</v>
      </c>
      <c r="E944" s="3" t="s">
        <v>4551</v>
      </c>
      <c r="F944" s="3" t="s">
        <v>4552</v>
      </c>
      <c r="G944" s="3"/>
      <c r="H944" s="3" t="s">
        <v>4553</v>
      </c>
      <c r="I944" s="4"/>
      <c r="J944" s="4"/>
      <c r="K944" s="4"/>
      <c r="L944" s="4"/>
    </row>
    <row r="945" spans="1:12" x14ac:dyDescent="0.25">
      <c r="A945" s="2" t="str">
        <f>HYPERLINK("https://www.list-org.com/company/14247786","https://www.list-org.com/company/14247786")</f>
        <v>https://www.list-org.com/company/14247786</v>
      </c>
      <c r="B945" s="3" t="s">
        <v>4554</v>
      </c>
      <c r="C945" s="3" t="s">
        <v>4555</v>
      </c>
      <c r="D945" s="3" t="s">
        <v>14</v>
      </c>
      <c r="E945" s="3" t="s">
        <v>4556</v>
      </c>
      <c r="F945" s="3" t="s">
        <v>4557</v>
      </c>
      <c r="G945" s="3"/>
      <c r="H945" s="3" t="s">
        <v>4558</v>
      </c>
      <c r="I945" s="4"/>
      <c r="J945" s="4"/>
      <c r="K945" s="4"/>
      <c r="L945" s="4"/>
    </row>
    <row r="946" spans="1:12" x14ac:dyDescent="0.25">
      <c r="A946" s="2" t="str">
        <f>HYPERLINK("https://www.list-org.com/company/14250503","https://www.list-org.com/company/14250503")</f>
        <v>https://www.list-org.com/company/14250503</v>
      </c>
      <c r="B946" s="3" t="s">
        <v>4559</v>
      </c>
      <c r="C946" s="3" t="s">
        <v>4560</v>
      </c>
      <c r="D946" s="3" t="s">
        <v>14</v>
      </c>
      <c r="E946" s="3" t="s">
        <v>4561</v>
      </c>
      <c r="F946" s="3" t="s">
        <v>4562</v>
      </c>
      <c r="G946" s="3"/>
      <c r="H946" s="3" t="s">
        <v>4563</v>
      </c>
      <c r="I946" s="4">
        <v>1</v>
      </c>
      <c r="J946" s="4">
        <v>5008</v>
      </c>
      <c r="K946" s="4">
        <v>113</v>
      </c>
      <c r="L946" s="4">
        <v>183</v>
      </c>
    </row>
    <row r="947" spans="1:12" x14ac:dyDescent="0.25">
      <c r="A947" s="2" t="str">
        <f>HYPERLINK("https://www.list-org.com/company/14250730","https://www.list-org.com/company/14250730")</f>
        <v>https://www.list-org.com/company/14250730</v>
      </c>
      <c r="B947" s="3" t="s">
        <v>4564</v>
      </c>
      <c r="C947" s="3" t="s">
        <v>4565</v>
      </c>
      <c r="D947" s="3" t="s">
        <v>14</v>
      </c>
      <c r="E947" s="3" t="s">
        <v>4566</v>
      </c>
      <c r="F947" s="3" t="s">
        <v>4567</v>
      </c>
      <c r="G947" s="3"/>
      <c r="H947" s="3" t="s">
        <v>4568</v>
      </c>
      <c r="I947" s="4"/>
      <c r="J947" s="4"/>
      <c r="K947" s="4"/>
      <c r="L947" s="4"/>
    </row>
    <row r="948" spans="1:12" x14ac:dyDescent="0.25">
      <c r="A948" s="2" t="str">
        <f>HYPERLINK("https://www.list-org.com/company/14251340","https://www.list-org.com/company/14251340")</f>
        <v>https://www.list-org.com/company/14251340</v>
      </c>
      <c r="B948" s="3" t="s">
        <v>4569</v>
      </c>
      <c r="C948" s="3" t="s">
        <v>4570</v>
      </c>
      <c r="D948" s="3" t="s">
        <v>14</v>
      </c>
      <c r="E948" s="3" t="s">
        <v>4571</v>
      </c>
      <c r="F948" s="3" t="s">
        <v>4572</v>
      </c>
      <c r="G948" s="3"/>
      <c r="H948" s="3" t="s">
        <v>4573</v>
      </c>
      <c r="I948" s="4"/>
      <c r="J948" s="4"/>
      <c r="K948" s="4"/>
      <c r="L948" s="4"/>
    </row>
    <row r="949" spans="1:12" x14ac:dyDescent="0.25">
      <c r="A949" s="2" t="str">
        <f>HYPERLINK("https://www.list-org.com/company/14251721","https://www.list-org.com/company/14251721")</f>
        <v>https://www.list-org.com/company/14251721</v>
      </c>
      <c r="B949" s="3" t="s">
        <v>4574</v>
      </c>
      <c r="C949" s="3" t="s">
        <v>4575</v>
      </c>
      <c r="D949" s="3" t="s">
        <v>14</v>
      </c>
      <c r="E949" s="3" t="s">
        <v>4576</v>
      </c>
      <c r="F949" s="3" t="s">
        <v>4577</v>
      </c>
      <c r="G949" s="3"/>
      <c r="H949" s="3" t="s">
        <v>4578</v>
      </c>
      <c r="I949" s="4"/>
      <c r="J949" s="4"/>
      <c r="K949" s="4"/>
      <c r="L949" s="4"/>
    </row>
    <row r="950" spans="1:12" x14ac:dyDescent="0.25">
      <c r="A950" s="2" t="str">
        <f>HYPERLINK("https://www.list-org.com/company/14256120","https://www.list-org.com/company/14256120")</f>
        <v>https://www.list-org.com/company/14256120</v>
      </c>
      <c r="B950" s="3" t="s">
        <v>4579</v>
      </c>
      <c r="C950" s="3" t="s">
        <v>4580</v>
      </c>
      <c r="D950" s="3" t="s">
        <v>14</v>
      </c>
      <c r="E950" s="3" t="s">
        <v>4581</v>
      </c>
      <c r="F950" s="3" t="s">
        <v>4582</v>
      </c>
      <c r="G950" s="3"/>
      <c r="H950" s="3" t="s">
        <v>4583</v>
      </c>
      <c r="I950" s="4"/>
      <c r="J950" s="4"/>
      <c r="K950" s="4"/>
      <c r="L950" s="4"/>
    </row>
    <row r="951" spans="1:12" x14ac:dyDescent="0.25">
      <c r="A951" s="2" t="str">
        <f>HYPERLINK("https://www.list-org.com/company/14256940","https://www.list-org.com/company/14256940")</f>
        <v>https://www.list-org.com/company/14256940</v>
      </c>
      <c r="B951" s="3" t="s">
        <v>4584</v>
      </c>
      <c r="C951" s="3" t="s">
        <v>4585</v>
      </c>
      <c r="D951" s="3" t="s">
        <v>14</v>
      </c>
      <c r="E951" s="3" t="s">
        <v>4586</v>
      </c>
      <c r="F951" s="3" t="s">
        <v>4587</v>
      </c>
      <c r="G951" s="3"/>
      <c r="H951" s="3" t="s">
        <v>4588</v>
      </c>
      <c r="I951" s="4"/>
      <c r="J951" s="4"/>
      <c r="K951" s="4"/>
      <c r="L951" s="4"/>
    </row>
    <row r="952" spans="1:12" x14ac:dyDescent="0.25">
      <c r="A952" s="2" t="str">
        <f>HYPERLINK("https://www.list-org.com/company/14257029","https://www.list-org.com/company/14257029")</f>
        <v>https://www.list-org.com/company/14257029</v>
      </c>
      <c r="B952" s="3" t="s">
        <v>4589</v>
      </c>
      <c r="C952" s="3" t="s">
        <v>4590</v>
      </c>
      <c r="D952" s="3" t="s">
        <v>14</v>
      </c>
      <c r="E952" s="3" t="s">
        <v>4591</v>
      </c>
      <c r="F952" s="3" t="s">
        <v>4592</v>
      </c>
      <c r="G952" s="3"/>
      <c r="H952" s="3" t="s">
        <v>4593</v>
      </c>
      <c r="I952" s="4"/>
      <c r="J952" s="4"/>
      <c r="K952" s="4"/>
      <c r="L952" s="4"/>
    </row>
    <row r="953" spans="1:12" x14ac:dyDescent="0.25">
      <c r="A953" s="2" t="str">
        <f>HYPERLINK("https://www.list-org.com/company/14258599","https://www.list-org.com/company/14258599")</f>
        <v>https://www.list-org.com/company/14258599</v>
      </c>
      <c r="B953" s="3" t="s">
        <v>4594</v>
      </c>
      <c r="C953" s="3" t="s">
        <v>4595</v>
      </c>
      <c r="D953" s="3" t="s">
        <v>14</v>
      </c>
      <c r="E953" s="3" t="s">
        <v>4596</v>
      </c>
      <c r="F953" s="3" t="s">
        <v>4597</v>
      </c>
      <c r="G953" s="3"/>
      <c r="H953" s="3" t="s">
        <v>4598</v>
      </c>
      <c r="I953" s="4"/>
      <c r="J953" s="4"/>
      <c r="K953" s="4"/>
      <c r="L953" s="4"/>
    </row>
    <row r="954" spans="1:12" x14ac:dyDescent="0.25">
      <c r="A954" s="2" t="str">
        <f>HYPERLINK("https://www.list-org.com/company/14259966","https://www.list-org.com/company/14259966")</f>
        <v>https://www.list-org.com/company/14259966</v>
      </c>
      <c r="B954" s="3" t="s">
        <v>4599</v>
      </c>
      <c r="C954" s="3" t="s">
        <v>4600</v>
      </c>
      <c r="D954" s="3" t="s">
        <v>14</v>
      </c>
      <c r="E954" s="3" t="s">
        <v>4601</v>
      </c>
      <c r="F954" s="3" t="s">
        <v>4602</v>
      </c>
      <c r="G954" s="3"/>
      <c r="H954" s="3" t="s">
        <v>4603</v>
      </c>
      <c r="I954" s="4"/>
      <c r="J954" s="4"/>
      <c r="K954" s="4"/>
      <c r="L954" s="4"/>
    </row>
    <row r="955" spans="1:12" x14ac:dyDescent="0.25">
      <c r="A955" s="2" t="str">
        <f>HYPERLINK("https://www.list-org.com/company/14260054","https://www.list-org.com/company/14260054")</f>
        <v>https://www.list-org.com/company/14260054</v>
      </c>
      <c r="B955" s="3" t="s">
        <v>4604</v>
      </c>
      <c r="C955" s="3" t="s">
        <v>4604</v>
      </c>
      <c r="D955" s="3" t="s">
        <v>14</v>
      </c>
      <c r="E955" s="3" t="s">
        <v>4605</v>
      </c>
      <c r="F955" s="3" t="s">
        <v>4606</v>
      </c>
      <c r="G955" s="3"/>
      <c r="H955" s="3" t="s">
        <v>4607</v>
      </c>
      <c r="I955" s="4"/>
      <c r="J955" s="4"/>
      <c r="K955" s="4"/>
      <c r="L955" s="4"/>
    </row>
    <row r="956" spans="1:12" x14ac:dyDescent="0.25">
      <c r="A956" s="2" t="str">
        <f>HYPERLINK("https://www.list-org.com/company/14260056","https://www.list-org.com/company/14260056")</f>
        <v>https://www.list-org.com/company/14260056</v>
      </c>
      <c r="B956" s="3" t="s">
        <v>4608</v>
      </c>
      <c r="C956" s="3" t="s">
        <v>4608</v>
      </c>
      <c r="D956" s="3" t="s">
        <v>14</v>
      </c>
      <c r="E956" s="3" t="s">
        <v>4609</v>
      </c>
      <c r="F956" s="3" t="s">
        <v>4610</v>
      </c>
      <c r="G956" s="3"/>
      <c r="H956" s="3" t="s">
        <v>4607</v>
      </c>
      <c r="I956" s="4"/>
      <c r="J956" s="4"/>
      <c r="K956" s="4"/>
      <c r="L956" s="4"/>
    </row>
    <row r="957" spans="1:12" x14ac:dyDescent="0.25">
      <c r="A957" s="2" t="str">
        <f>HYPERLINK("https://www.list-org.com/company/14332475","https://www.list-org.com/company/14332475")</f>
        <v>https://www.list-org.com/company/14332475</v>
      </c>
      <c r="B957" s="3" t="s">
        <v>4611</v>
      </c>
      <c r="C957" s="3" t="s">
        <v>4612</v>
      </c>
      <c r="D957" s="3" t="s">
        <v>14</v>
      </c>
      <c r="E957" s="3" t="s">
        <v>4613</v>
      </c>
      <c r="F957" s="3" t="s">
        <v>4614</v>
      </c>
      <c r="G957" s="3"/>
      <c r="H957" s="3" t="s">
        <v>4615</v>
      </c>
      <c r="I957" s="4"/>
      <c r="J957" s="4"/>
      <c r="K957" s="4"/>
      <c r="L957" s="4"/>
    </row>
    <row r="958" spans="1:12" x14ac:dyDescent="0.25">
      <c r="A958" s="2" t="str">
        <f>HYPERLINK("https://www.list-org.com/company/14332589","https://www.list-org.com/company/14332589")</f>
        <v>https://www.list-org.com/company/14332589</v>
      </c>
      <c r="B958" s="3" t="s">
        <v>4616</v>
      </c>
      <c r="C958" s="3" t="s">
        <v>4617</v>
      </c>
      <c r="D958" s="3" t="s">
        <v>14</v>
      </c>
      <c r="E958" s="3" t="s">
        <v>4618</v>
      </c>
      <c r="F958" s="3" t="s">
        <v>4619</v>
      </c>
      <c r="G958" s="3"/>
      <c r="H958" s="3" t="s">
        <v>4620</v>
      </c>
      <c r="I958" s="4"/>
      <c r="J958" s="4"/>
      <c r="K958" s="4"/>
      <c r="L958" s="4"/>
    </row>
    <row r="959" spans="1:12" x14ac:dyDescent="0.25">
      <c r="A959" s="2" t="str">
        <f>HYPERLINK("https://www.list-org.com/company/14333000","https://www.list-org.com/company/14333000")</f>
        <v>https://www.list-org.com/company/14333000</v>
      </c>
      <c r="B959" s="3" t="s">
        <v>4621</v>
      </c>
      <c r="C959" s="3" t="s">
        <v>4622</v>
      </c>
      <c r="D959" s="3" t="s">
        <v>14</v>
      </c>
      <c r="E959" s="3" t="s">
        <v>4623</v>
      </c>
      <c r="F959" s="3" t="s">
        <v>4624</v>
      </c>
      <c r="G959" s="3"/>
      <c r="H959" s="3" t="s">
        <v>2020</v>
      </c>
      <c r="I959" s="4"/>
      <c r="J959" s="4"/>
      <c r="K959" s="4"/>
      <c r="L959" s="4"/>
    </row>
    <row r="960" spans="1:12" x14ac:dyDescent="0.25">
      <c r="A960" s="2" t="str">
        <f>HYPERLINK("https://www.list-org.com/company/14333664","https://www.list-org.com/company/14333664")</f>
        <v>https://www.list-org.com/company/14333664</v>
      </c>
      <c r="B960" s="3" t="s">
        <v>4625</v>
      </c>
      <c r="C960" s="3" t="s">
        <v>4625</v>
      </c>
      <c r="D960" s="3" t="s">
        <v>14</v>
      </c>
      <c r="E960" s="3" t="s">
        <v>4626</v>
      </c>
      <c r="F960" s="3" t="s">
        <v>4627</v>
      </c>
      <c r="G960" s="3"/>
      <c r="H960" s="3" t="s">
        <v>4628</v>
      </c>
      <c r="I960" s="4"/>
      <c r="J960" s="4"/>
      <c r="K960" s="4"/>
      <c r="L960" s="4"/>
    </row>
    <row r="961" spans="1:12" x14ac:dyDescent="0.25">
      <c r="A961" s="2" t="str">
        <f>HYPERLINK("https://www.list-org.com/company/14333851","https://www.list-org.com/company/14333851")</f>
        <v>https://www.list-org.com/company/14333851</v>
      </c>
      <c r="B961" s="3" t="s">
        <v>4616</v>
      </c>
      <c r="C961" s="3" t="s">
        <v>4629</v>
      </c>
      <c r="D961" s="3" t="s">
        <v>14</v>
      </c>
      <c r="E961" s="3" t="s">
        <v>4630</v>
      </c>
      <c r="F961" s="3" t="s">
        <v>4631</v>
      </c>
      <c r="G961" s="3"/>
      <c r="H961" s="3" t="s">
        <v>4632</v>
      </c>
      <c r="I961" s="4"/>
      <c r="J961" s="4"/>
      <c r="K961" s="4"/>
      <c r="L961" s="4"/>
    </row>
    <row r="962" spans="1:12" x14ac:dyDescent="0.25">
      <c r="A962" s="2" t="str">
        <f>HYPERLINK("https://www.list-org.com/company/14334042","https://www.list-org.com/company/14334042")</f>
        <v>https://www.list-org.com/company/14334042</v>
      </c>
      <c r="B962" s="3" t="s">
        <v>4633</v>
      </c>
      <c r="C962" s="3" t="s">
        <v>4634</v>
      </c>
      <c r="D962" s="3" t="s">
        <v>14</v>
      </c>
      <c r="E962" s="3" t="s">
        <v>4635</v>
      </c>
      <c r="F962" s="3" t="s">
        <v>4636</v>
      </c>
      <c r="G962" s="3"/>
      <c r="H962" s="3" t="s">
        <v>1153</v>
      </c>
      <c r="I962" s="4"/>
      <c r="J962" s="4"/>
      <c r="K962" s="4"/>
      <c r="L962" s="4"/>
    </row>
    <row r="963" spans="1:12" x14ac:dyDescent="0.25">
      <c r="A963" s="2" t="str">
        <f>HYPERLINK("https://www.list-org.com/company/14334500","https://www.list-org.com/company/14334500")</f>
        <v>https://www.list-org.com/company/14334500</v>
      </c>
      <c r="B963" s="3" t="s">
        <v>4637</v>
      </c>
      <c r="C963" s="3" t="s">
        <v>4638</v>
      </c>
      <c r="D963" s="3" t="s">
        <v>14</v>
      </c>
      <c r="E963" s="3" t="s">
        <v>4639</v>
      </c>
      <c r="F963" s="3" t="s">
        <v>4640</v>
      </c>
      <c r="G963" s="3"/>
      <c r="H963" s="3" t="s">
        <v>4641</v>
      </c>
      <c r="I963" s="4"/>
      <c r="J963" s="4"/>
      <c r="K963" s="4"/>
      <c r="L963" s="4"/>
    </row>
    <row r="964" spans="1:12" x14ac:dyDescent="0.25">
      <c r="A964" s="2" t="str">
        <f>HYPERLINK("https://www.list-org.com/company/14336163","https://www.list-org.com/company/14336163")</f>
        <v>https://www.list-org.com/company/14336163</v>
      </c>
      <c r="B964" s="3" t="s">
        <v>4642</v>
      </c>
      <c r="C964" s="3" t="s">
        <v>4643</v>
      </c>
      <c r="D964" s="3" t="s">
        <v>14</v>
      </c>
      <c r="E964" s="3" t="s">
        <v>4644</v>
      </c>
      <c r="F964" s="3" t="s">
        <v>4645</v>
      </c>
      <c r="G964" s="3"/>
      <c r="H964" s="3" t="s">
        <v>4646</v>
      </c>
      <c r="I964" s="4"/>
      <c r="J964" s="4"/>
      <c r="K964" s="4"/>
      <c r="L964" s="4"/>
    </row>
    <row r="965" spans="1:12" x14ac:dyDescent="0.25">
      <c r="A965" s="2" t="str">
        <f>HYPERLINK("https://www.list-org.com/company/14336483","https://www.list-org.com/company/14336483")</f>
        <v>https://www.list-org.com/company/14336483</v>
      </c>
      <c r="B965" s="3" t="s">
        <v>4647</v>
      </c>
      <c r="C965" s="3" t="s">
        <v>4648</v>
      </c>
      <c r="D965" s="3" t="s">
        <v>14</v>
      </c>
      <c r="E965" s="3" t="s">
        <v>4649</v>
      </c>
      <c r="F965" s="3" t="s">
        <v>4650</v>
      </c>
      <c r="G965" s="3"/>
      <c r="H965" s="3" t="s">
        <v>4651</v>
      </c>
      <c r="I965" s="4"/>
      <c r="J965" s="4"/>
      <c r="K965" s="4"/>
      <c r="L965" s="4"/>
    </row>
    <row r="966" spans="1:12" x14ac:dyDescent="0.25">
      <c r="A966" s="2" t="str">
        <f>HYPERLINK("https://www.list-org.com/company/14336491","https://www.list-org.com/company/14336491")</f>
        <v>https://www.list-org.com/company/14336491</v>
      </c>
      <c r="B966" s="3" t="s">
        <v>4652</v>
      </c>
      <c r="C966" s="3" t="s">
        <v>4653</v>
      </c>
      <c r="D966" s="3" t="s">
        <v>14</v>
      </c>
      <c r="E966" s="3" t="s">
        <v>4654</v>
      </c>
      <c r="F966" s="3" t="s">
        <v>4655</v>
      </c>
      <c r="G966" s="3"/>
      <c r="H966" s="3" t="s">
        <v>4656</v>
      </c>
      <c r="I966" s="4"/>
      <c r="J966" s="4"/>
      <c r="K966" s="4"/>
      <c r="L966" s="4"/>
    </row>
    <row r="967" spans="1:12" x14ac:dyDescent="0.25">
      <c r="A967" s="2" t="str">
        <f>HYPERLINK("https://www.list-org.com/company/14337996","https://www.list-org.com/company/14337996")</f>
        <v>https://www.list-org.com/company/14337996</v>
      </c>
      <c r="B967" s="3" t="s">
        <v>4657</v>
      </c>
      <c r="C967" s="3" t="s">
        <v>4658</v>
      </c>
      <c r="D967" s="3" t="s">
        <v>14</v>
      </c>
      <c r="E967" s="3" t="s">
        <v>4659</v>
      </c>
      <c r="F967" s="3" t="s">
        <v>4660</v>
      </c>
      <c r="G967" s="3"/>
      <c r="H967" s="3" t="s">
        <v>4661</v>
      </c>
      <c r="I967" s="4"/>
      <c r="J967" s="4"/>
      <c r="K967" s="4"/>
      <c r="L967" s="4"/>
    </row>
    <row r="968" spans="1:12" x14ac:dyDescent="0.25">
      <c r="A968" s="2" t="str">
        <f>HYPERLINK("https://www.list-org.com/company/14338147","https://www.list-org.com/company/14338147")</f>
        <v>https://www.list-org.com/company/14338147</v>
      </c>
      <c r="B968" s="3" t="s">
        <v>4662</v>
      </c>
      <c r="C968" s="3" t="s">
        <v>4663</v>
      </c>
      <c r="D968" s="3" t="s">
        <v>14</v>
      </c>
      <c r="E968" s="3" t="s">
        <v>4664</v>
      </c>
      <c r="F968" s="3" t="s">
        <v>4665</v>
      </c>
      <c r="G968" s="3"/>
      <c r="H968" s="3" t="s">
        <v>4666</v>
      </c>
      <c r="I968" s="4"/>
      <c r="J968" s="4"/>
      <c r="K968" s="4"/>
      <c r="L968" s="4"/>
    </row>
    <row r="969" spans="1:12" x14ac:dyDescent="0.25">
      <c r="A969" s="2" t="str">
        <f>HYPERLINK("https://www.list-org.com/company/14339277","https://www.list-org.com/company/14339277")</f>
        <v>https://www.list-org.com/company/14339277</v>
      </c>
      <c r="B969" s="3" t="s">
        <v>4667</v>
      </c>
      <c r="C969" s="3" t="s">
        <v>4668</v>
      </c>
      <c r="D969" s="3" t="s">
        <v>14</v>
      </c>
      <c r="E969" s="3" t="s">
        <v>4669</v>
      </c>
      <c r="F969" s="3" t="s">
        <v>4670</v>
      </c>
      <c r="G969" s="3"/>
      <c r="H969" s="3" t="s">
        <v>4671</v>
      </c>
      <c r="I969" s="4"/>
      <c r="J969" s="4"/>
      <c r="K969" s="4"/>
      <c r="L969" s="4">
        <v>50</v>
      </c>
    </row>
    <row r="970" spans="1:12" x14ac:dyDescent="0.25">
      <c r="A970" s="2" t="str">
        <f>HYPERLINK("https://www.list-org.com/company/14339549","https://www.list-org.com/company/14339549")</f>
        <v>https://www.list-org.com/company/14339549</v>
      </c>
      <c r="B970" s="3" t="s">
        <v>4672</v>
      </c>
      <c r="C970" s="3" t="s">
        <v>4673</v>
      </c>
      <c r="D970" s="3" t="s">
        <v>14</v>
      </c>
      <c r="E970" s="3" t="s">
        <v>4674</v>
      </c>
      <c r="F970" s="3" t="s">
        <v>4675</v>
      </c>
      <c r="G970" s="3"/>
      <c r="H970" s="3" t="s">
        <v>4676</v>
      </c>
      <c r="I970" s="4"/>
      <c r="J970" s="4"/>
      <c r="K970" s="4"/>
      <c r="L970" s="4"/>
    </row>
    <row r="971" spans="1:12" x14ac:dyDescent="0.25">
      <c r="A971" s="2" t="str">
        <f>HYPERLINK("https://www.list-org.com/company/14340888","https://www.list-org.com/company/14340888")</f>
        <v>https://www.list-org.com/company/14340888</v>
      </c>
      <c r="B971" s="3" t="s">
        <v>4677</v>
      </c>
      <c r="C971" s="3" t="s">
        <v>4678</v>
      </c>
      <c r="D971" s="3" t="s">
        <v>14</v>
      </c>
      <c r="E971" s="3" t="s">
        <v>4679</v>
      </c>
      <c r="F971" s="3" t="s">
        <v>4680</v>
      </c>
      <c r="G971" s="3"/>
      <c r="H971" s="3" t="s">
        <v>4681</v>
      </c>
      <c r="I971" s="4"/>
      <c r="J971" s="4"/>
      <c r="K971" s="4"/>
      <c r="L971" s="4"/>
    </row>
    <row r="972" spans="1:12" x14ac:dyDescent="0.25">
      <c r="A972" s="2" t="str">
        <f>HYPERLINK("https://www.list-org.com/company/14341902","https://www.list-org.com/company/14341902")</f>
        <v>https://www.list-org.com/company/14341902</v>
      </c>
      <c r="B972" s="3" t="s">
        <v>4682</v>
      </c>
      <c r="C972" s="3" t="s">
        <v>4683</v>
      </c>
      <c r="D972" s="3" t="s">
        <v>14</v>
      </c>
      <c r="E972" s="3" t="s">
        <v>4684</v>
      </c>
      <c r="F972" s="3" t="s">
        <v>4685</v>
      </c>
      <c r="G972" s="3"/>
      <c r="H972" s="3" t="s">
        <v>4686</v>
      </c>
      <c r="I972" s="4"/>
      <c r="J972" s="4"/>
      <c r="K972" s="4"/>
      <c r="L972" s="4"/>
    </row>
    <row r="973" spans="1:12" x14ac:dyDescent="0.25">
      <c r="A973" s="2" t="str">
        <f>HYPERLINK("https://www.list-org.com/company/14342353","https://www.list-org.com/company/14342353")</f>
        <v>https://www.list-org.com/company/14342353</v>
      </c>
      <c r="B973" s="3" t="s">
        <v>4687</v>
      </c>
      <c r="C973" s="3" t="s">
        <v>4688</v>
      </c>
      <c r="D973" s="3" t="s">
        <v>14</v>
      </c>
      <c r="E973" s="3" t="s">
        <v>4689</v>
      </c>
      <c r="F973" s="3" t="s">
        <v>4690</v>
      </c>
      <c r="G973" s="3"/>
      <c r="H973" s="3" t="s">
        <v>4691</v>
      </c>
      <c r="I973" s="4"/>
      <c r="J973" s="4"/>
      <c r="K973" s="4"/>
      <c r="L973" s="4"/>
    </row>
    <row r="974" spans="1:12" x14ac:dyDescent="0.25">
      <c r="A974" s="2" t="str">
        <f>HYPERLINK("https://www.list-org.com/company/14342415","https://www.list-org.com/company/14342415")</f>
        <v>https://www.list-org.com/company/14342415</v>
      </c>
      <c r="B974" s="3" t="s">
        <v>4692</v>
      </c>
      <c r="C974" s="3" t="s">
        <v>4693</v>
      </c>
      <c r="D974" s="3" t="s">
        <v>14</v>
      </c>
      <c r="E974" s="3" t="s">
        <v>4694</v>
      </c>
      <c r="F974" s="3" t="s">
        <v>4695</v>
      </c>
      <c r="G974" s="3"/>
      <c r="H974" s="3" t="s">
        <v>1289</v>
      </c>
      <c r="I974" s="4"/>
      <c r="J974" s="4"/>
      <c r="K974" s="4"/>
      <c r="L974" s="4"/>
    </row>
    <row r="975" spans="1:12" x14ac:dyDescent="0.25">
      <c r="A975" s="2" t="str">
        <f>HYPERLINK("https://www.list-org.com/company/14342565","https://www.list-org.com/company/14342565")</f>
        <v>https://www.list-org.com/company/14342565</v>
      </c>
      <c r="B975" s="3" t="s">
        <v>4696</v>
      </c>
      <c r="C975" s="3" t="s">
        <v>4697</v>
      </c>
      <c r="D975" s="3" t="s">
        <v>14</v>
      </c>
      <c r="E975" s="3" t="s">
        <v>4698</v>
      </c>
      <c r="F975" s="3" t="s">
        <v>4699</v>
      </c>
      <c r="G975" s="3"/>
      <c r="H975" s="3" t="s">
        <v>4700</v>
      </c>
      <c r="I975" s="4"/>
      <c r="J975" s="4"/>
      <c r="K975" s="4"/>
      <c r="L975" s="4"/>
    </row>
    <row r="976" spans="1:12" x14ac:dyDescent="0.25">
      <c r="A976" s="2" t="str">
        <f>HYPERLINK("https://www.list-org.com/company/14342789","https://www.list-org.com/company/14342789")</f>
        <v>https://www.list-org.com/company/14342789</v>
      </c>
      <c r="B976" s="3" t="s">
        <v>4701</v>
      </c>
      <c r="C976" s="3" t="s">
        <v>4702</v>
      </c>
      <c r="D976" s="3" t="s">
        <v>14</v>
      </c>
      <c r="E976" s="3" t="s">
        <v>4703</v>
      </c>
      <c r="F976" s="3" t="s">
        <v>4704</v>
      </c>
      <c r="G976" s="3"/>
      <c r="H976" s="3" t="s">
        <v>4705</v>
      </c>
      <c r="I976" s="4"/>
      <c r="J976" s="4"/>
      <c r="K976" s="4"/>
      <c r="L976" s="4"/>
    </row>
    <row r="977" spans="1:12" x14ac:dyDescent="0.25">
      <c r="A977" s="2" t="str">
        <f>HYPERLINK("https://www.list-org.com/company/14343866","https://www.list-org.com/company/14343866")</f>
        <v>https://www.list-org.com/company/14343866</v>
      </c>
      <c r="B977" s="3" t="s">
        <v>4706</v>
      </c>
      <c r="C977" s="3" t="s">
        <v>4707</v>
      </c>
      <c r="D977" s="3" t="s">
        <v>14</v>
      </c>
      <c r="E977" s="3" t="s">
        <v>4708</v>
      </c>
      <c r="F977" s="3" t="s">
        <v>4709</v>
      </c>
      <c r="G977" s="3"/>
      <c r="H977" s="3" t="s">
        <v>4710</v>
      </c>
      <c r="I977" s="4"/>
      <c r="J977" s="4"/>
      <c r="K977" s="4"/>
      <c r="L977" s="4"/>
    </row>
    <row r="978" spans="1:12" x14ac:dyDescent="0.25">
      <c r="A978" s="2" t="str">
        <f>HYPERLINK("https://www.list-org.com/company/14346842","https://www.list-org.com/company/14346842")</f>
        <v>https://www.list-org.com/company/14346842</v>
      </c>
      <c r="B978" s="3" t="s">
        <v>4711</v>
      </c>
      <c r="C978" s="3" t="s">
        <v>4712</v>
      </c>
      <c r="D978" s="3" t="s">
        <v>14</v>
      </c>
      <c r="E978" s="3" t="s">
        <v>4713</v>
      </c>
      <c r="F978" s="3" t="s">
        <v>4714</v>
      </c>
      <c r="G978" s="3"/>
      <c r="H978" s="3" t="s">
        <v>4715</v>
      </c>
      <c r="I978" s="4"/>
      <c r="J978" s="4">
        <v>1330</v>
      </c>
      <c r="K978" s="4">
        <v>-729</v>
      </c>
      <c r="L978" s="4">
        <v>-719</v>
      </c>
    </row>
    <row r="979" spans="1:12" x14ac:dyDescent="0.25">
      <c r="A979" s="2" t="str">
        <f>HYPERLINK("https://www.list-org.com/company/14348299","https://www.list-org.com/company/14348299")</f>
        <v>https://www.list-org.com/company/14348299</v>
      </c>
      <c r="B979" s="3" t="s">
        <v>4716</v>
      </c>
      <c r="C979" s="3" t="s">
        <v>4717</v>
      </c>
      <c r="D979" s="3" t="s">
        <v>14</v>
      </c>
      <c r="E979" s="3" t="s">
        <v>4718</v>
      </c>
      <c r="F979" s="3" t="s">
        <v>4719</v>
      </c>
      <c r="G979" s="3"/>
      <c r="H979" s="3" t="s">
        <v>4720</v>
      </c>
      <c r="I979" s="4"/>
      <c r="J979" s="4"/>
      <c r="K979" s="4"/>
      <c r="L979" s="4"/>
    </row>
    <row r="980" spans="1:12" x14ac:dyDescent="0.25">
      <c r="A980" s="2" t="str">
        <f>HYPERLINK("https://www.list-org.com/company/14348601","https://www.list-org.com/company/14348601")</f>
        <v>https://www.list-org.com/company/14348601</v>
      </c>
      <c r="B980" s="3" t="s">
        <v>4721</v>
      </c>
      <c r="C980" s="3" t="s">
        <v>4722</v>
      </c>
      <c r="D980" s="3" t="s">
        <v>14</v>
      </c>
      <c r="E980" s="3" t="s">
        <v>4723</v>
      </c>
      <c r="F980" s="3" t="s">
        <v>4724</v>
      </c>
      <c r="G980" s="3"/>
      <c r="H980" s="3" t="s">
        <v>4725</v>
      </c>
      <c r="I980" s="4"/>
      <c r="J980" s="4"/>
      <c r="K980" s="4"/>
      <c r="L980" s="4"/>
    </row>
    <row r="981" spans="1:12" x14ac:dyDescent="0.25">
      <c r="A981" s="2" t="str">
        <f>HYPERLINK("https://www.list-org.com/company/14349188","https://www.list-org.com/company/14349188")</f>
        <v>https://www.list-org.com/company/14349188</v>
      </c>
      <c r="B981" s="3" t="s">
        <v>4726</v>
      </c>
      <c r="C981" s="3" t="s">
        <v>4727</v>
      </c>
      <c r="D981" s="3" t="s">
        <v>14</v>
      </c>
      <c r="E981" s="3" t="s">
        <v>4728</v>
      </c>
      <c r="F981" s="3" t="s">
        <v>4729</v>
      </c>
      <c r="G981" s="3"/>
      <c r="H981" s="3" t="s">
        <v>4730</v>
      </c>
      <c r="I981" s="4"/>
      <c r="J981" s="4"/>
      <c r="K981" s="4"/>
      <c r="L981" s="4"/>
    </row>
    <row r="982" spans="1:12" x14ac:dyDescent="0.25">
      <c r="A982" s="2" t="str">
        <f>HYPERLINK("https://www.list-org.com/company/14349312","https://www.list-org.com/company/14349312")</f>
        <v>https://www.list-org.com/company/14349312</v>
      </c>
      <c r="B982" s="3" t="s">
        <v>4731</v>
      </c>
      <c r="C982" s="3" t="s">
        <v>4732</v>
      </c>
      <c r="D982" s="3" t="s">
        <v>14</v>
      </c>
      <c r="E982" s="3" t="s">
        <v>4733</v>
      </c>
      <c r="F982" s="3" t="s">
        <v>4734</v>
      </c>
      <c r="G982" s="3"/>
      <c r="H982" s="3" t="s">
        <v>4735</v>
      </c>
      <c r="I982" s="4"/>
      <c r="J982" s="4"/>
      <c r="K982" s="4"/>
      <c r="L982" s="4"/>
    </row>
    <row r="983" spans="1:12" x14ac:dyDescent="0.25">
      <c r="A983" s="2" t="str">
        <f>HYPERLINK("https://www.list-org.com/company/14350058","https://www.list-org.com/company/14350058")</f>
        <v>https://www.list-org.com/company/14350058</v>
      </c>
      <c r="B983" s="3" t="s">
        <v>4736</v>
      </c>
      <c r="C983" s="3" t="s">
        <v>4737</v>
      </c>
      <c r="D983" s="3" t="s">
        <v>14</v>
      </c>
      <c r="E983" s="3" t="s">
        <v>4738</v>
      </c>
      <c r="F983" s="3" t="s">
        <v>4739</v>
      </c>
      <c r="G983" s="3"/>
      <c r="H983" s="3" t="s">
        <v>1431</v>
      </c>
      <c r="I983" s="4"/>
      <c r="J983" s="4"/>
      <c r="K983" s="4"/>
      <c r="L983" s="4"/>
    </row>
    <row r="984" spans="1:12" x14ac:dyDescent="0.25">
      <c r="A984" s="2" t="str">
        <f>HYPERLINK("https://www.list-org.com/company/14350869","https://www.list-org.com/company/14350869")</f>
        <v>https://www.list-org.com/company/14350869</v>
      </c>
      <c r="B984" s="3" t="s">
        <v>4740</v>
      </c>
      <c r="C984" s="3" t="s">
        <v>4741</v>
      </c>
      <c r="D984" s="3" t="s">
        <v>14</v>
      </c>
      <c r="E984" s="3" t="s">
        <v>4742</v>
      </c>
      <c r="F984" s="3" t="s">
        <v>4743</v>
      </c>
      <c r="G984" s="3"/>
      <c r="H984" s="3" t="s">
        <v>4744</v>
      </c>
      <c r="I984" s="4"/>
      <c r="J984" s="4"/>
      <c r="K984" s="4"/>
      <c r="L984" s="4"/>
    </row>
    <row r="985" spans="1:12" x14ac:dyDescent="0.25">
      <c r="A985" s="2" t="str">
        <f>HYPERLINK("https://www.list-org.com/company/14350909","https://www.list-org.com/company/14350909")</f>
        <v>https://www.list-org.com/company/14350909</v>
      </c>
      <c r="B985" s="3" t="s">
        <v>4745</v>
      </c>
      <c r="C985" s="3" t="s">
        <v>4746</v>
      </c>
      <c r="D985" s="3" t="s">
        <v>14</v>
      </c>
      <c r="E985" s="3" t="s">
        <v>4747</v>
      </c>
      <c r="F985" s="3" t="s">
        <v>4748</v>
      </c>
      <c r="G985" s="3"/>
      <c r="H985" s="3" t="s">
        <v>4749</v>
      </c>
      <c r="I985" s="4"/>
      <c r="J985" s="4"/>
      <c r="K985" s="4"/>
      <c r="L985" s="4"/>
    </row>
    <row r="986" spans="1:12" x14ac:dyDescent="0.25">
      <c r="A986" s="2" t="str">
        <f>HYPERLINK("https://www.list-org.com/company/14351659","https://www.list-org.com/company/14351659")</f>
        <v>https://www.list-org.com/company/14351659</v>
      </c>
      <c r="B986" s="3" t="s">
        <v>4750</v>
      </c>
      <c r="C986" s="3" t="s">
        <v>4751</v>
      </c>
      <c r="D986" s="3" t="s">
        <v>14</v>
      </c>
      <c r="E986" s="3" t="s">
        <v>4752</v>
      </c>
      <c r="F986" s="3" t="s">
        <v>4753</v>
      </c>
      <c r="G986" s="3"/>
      <c r="H986" s="3" t="s">
        <v>4607</v>
      </c>
      <c r="I986" s="4"/>
      <c r="J986" s="4"/>
      <c r="K986" s="4"/>
      <c r="L986" s="4"/>
    </row>
    <row r="987" spans="1:12" x14ac:dyDescent="0.25">
      <c r="A987" s="2" t="str">
        <f>HYPERLINK("https://www.list-org.com/company/14352191","https://www.list-org.com/company/14352191")</f>
        <v>https://www.list-org.com/company/14352191</v>
      </c>
      <c r="B987" s="3" t="s">
        <v>4754</v>
      </c>
      <c r="C987" s="3" t="s">
        <v>4755</v>
      </c>
      <c r="D987" s="3" t="s">
        <v>14</v>
      </c>
      <c r="E987" s="3" t="s">
        <v>4756</v>
      </c>
      <c r="F987" s="3" t="s">
        <v>4757</v>
      </c>
      <c r="G987" s="3"/>
      <c r="H987" s="3" t="s">
        <v>4758</v>
      </c>
      <c r="I987" s="4"/>
      <c r="J987" s="4">
        <v>222944</v>
      </c>
      <c r="K987" s="4">
        <v>20315</v>
      </c>
      <c r="L987" s="4">
        <v>20366</v>
      </c>
    </row>
    <row r="988" spans="1:12" x14ac:dyDescent="0.25">
      <c r="A988" s="2" t="str">
        <f>HYPERLINK("https://www.list-org.com/company/14353126","https://www.list-org.com/company/14353126")</f>
        <v>https://www.list-org.com/company/14353126</v>
      </c>
      <c r="B988" s="3" t="s">
        <v>4759</v>
      </c>
      <c r="C988" s="3" t="s">
        <v>4760</v>
      </c>
      <c r="D988" s="3" t="s">
        <v>14</v>
      </c>
      <c r="E988" s="3" t="s">
        <v>4761</v>
      </c>
      <c r="F988" s="3" t="s">
        <v>4762</v>
      </c>
      <c r="G988" s="3"/>
      <c r="H988" s="3" t="s">
        <v>4763</v>
      </c>
      <c r="I988" s="4"/>
      <c r="J988" s="4"/>
      <c r="K988" s="4"/>
      <c r="L988" s="4"/>
    </row>
    <row r="989" spans="1:12" x14ac:dyDescent="0.25">
      <c r="A989" s="2" t="str">
        <f>HYPERLINK("https://www.list-org.com/company/14353395","https://www.list-org.com/company/14353395")</f>
        <v>https://www.list-org.com/company/14353395</v>
      </c>
      <c r="B989" s="3" t="s">
        <v>4764</v>
      </c>
      <c r="C989" s="3" t="s">
        <v>4765</v>
      </c>
      <c r="D989" s="3" t="s">
        <v>14</v>
      </c>
      <c r="E989" s="3" t="s">
        <v>4766</v>
      </c>
      <c r="F989" s="3" t="s">
        <v>4767</v>
      </c>
      <c r="G989" s="3"/>
      <c r="H989" s="3" t="s">
        <v>4768</v>
      </c>
      <c r="I989" s="4"/>
      <c r="J989" s="4"/>
      <c r="K989" s="4"/>
      <c r="L989" s="4"/>
    </row>
    <row r="990" spans="1:12" x14ac:dyDescent="0.25">
      <c r="A990" s="2" t="str">
        <f>HYPERLINK("https://www.list-org.com/company/14353492","https://www.list-org.com/company/14353492")</f>
        <v>https://www.list-org.com/company/14353492</v>
      </c>
      <c r="B990" s="3" t="s">
        <v>4769</v>
      </c>
      <c r="C990" s="3" t="s">
        <v>4770</v>
      </c>
      <c r="D990" s="3" t="s">
        <v>14</v>
      </c>
      <c r="E990" s="3" t="s">
        <v>4771</v>
      </c>
      <c r="F990" s="3" t="s">
        <v>4772</v>
      </c>
      <c r="G990" s="3"/>
      <c r="H990" s="3" t="s">
        <v>3936</v>
      </c>
      <c r="I990" s="4"/>
      <c r="J990" s="4"/>
      <c r="K990" s="4"/>
      <c r="L990" s="4"/>
    </row>
    <row r="991" spans="1:12" x14ac:dyDescent="0.25">
      <c r="A991" s="2" t="str">
        <f>HYPERLINK("https://www.list-org.com/company/14353934","https://www.list-org.com/company/14353934")</f>
        <v>https://www.list-org.com/company/14353934</v>
      </c>
      <c r="B991" s="3" t="s">
        <v>4773</v>
      </c>
      <c r="C991" s="3" t="s">
        <v>4774</v>
      </c>
      <c r="D991" s="3" t="s">
        <v>14</v>
      </c>
      <c r="E991" s="3" t="s">
        <v>4775</v>
      </c>
      <c r="F991" s="3" t="s">
        <v>4776</v>
      </c>
      <c r="G991" s="3"/>
      <c r="H991" s="3" t="s">
        <v>4777</v>
      </c>
      <c r="I991" s="4"/>
      <c r="J991" s="4"/>
      <c r="K991" s="4"/>
      <c r="L991" s="4"/>
    </row>
    <row r="992" spans="1:12" x14ac:dyDescent="0.25">
      <c r="A992" s="2" t="str">
        <f>HYPERLINK("https://www.list-org.com/company/14354039","https://www.list-org.com/company/14354039")</f>
        <v>https://www.list-org.com/company/14354039</v>
      </c>
      <c r="B992" s="3" t="s">
        <v>4778</v>
      </c>
      <c r="C992" s="3" t="s">
        <v>4779</v>
      </c>
      <c r="D992" s="3" t="s">
        <v>14</v>
      </c>
      <c r="E992" s="3" t="s">
        <v>4780</v>
      </c>
      <c r="F992" s="3" t="s">
        <v>4781</v>
      </c>
      <c r="G992" s="3"/>
      <c r="H992" s="3" t="s">
        <v>4782</v>
      </c>
      <c r="I992" s="4"/>
      <c r="J992" s="4"/>
      <c r="K992" s="4"/>
      <c r="L992" s="4"/>
    </row>
    <row r="993" spans="1:12" x14ac:dyDescent="0.25">
      <c r="A993" s="2" t="str">
        <f>HYPERLINK("https://www.list-org.com/company/14354183","https://www.list-org.com/company/14354183")</f>
        <v>https://www.list-org.com/company/14354183</v>
      </c>
      <c r="B993" s="3" t="s">
        <v>4783</v>
      </c>
      <c r="C993" s="3" t="s">
        <v>4784</v>
      </c>
      <c r="D993" s="3" t="s">
        <v>14</v>
      </c>
      <c r="E993" s="3" t="s">
        <v>4785</v>
      </c>
      <c r="F993" s="3" t="s">
        <v>4786</v>
      </c>
      <c r="G993" s="3"/>
      <c r="H993" s="3" t="s">
        <v>2020</v>
      </c>
      <c r="I993" s="4"/>
      <c r="J993" s="4"/>
      <c r="K993" s="4"/>
      <c r="L993" s="4"/>
    </row>
    <row r="994" spans="1:12" x14ac:dyDescent="0.25">
      <c r="A994" s="2" t="str">
        <f>HYPERLINK("https://www.list-org.com/company/14355056","https://www.list-org.com/company/14355056")</f>
        <v>https://www.list-org.com/company/14355056</v>
      </c>
      <c r="B994" s="3" t="s">
        <v>4787</v>
      </c>
      <c r="C994" s="3" t="s">
        <v>4788</v>
      </c>
      <c r="D994" s="3" t="s">
        <v>14</v>
      </c>
      <c r="E994" s="3" t="s">
        <v>4789</v>
      </c>
      <c r="F994" s="3" t="s">
        <v>4790</v>
      </c>
      <c r="G994" s="3"/>
      <c r="H994" s="3" t="s">
        <v>4791</v>
      </c>
      <c r="I994" s="4"/>
      <c r="J994" s="4"/>
      <c r="K994" s="4"/>
      <c r="L994" s="4"/>
    </row>
    <row r="995" spans="1:12" x14ac:dyDescent="0.25">
      <c r="A995" s="2" t="str">
        <f>HYPERLINK("https://www.list-org.com/company/14355059","https://www.list-org.com/company/14355059")</f>
        <v>https://www.list-org.com/company/14355059</v>
      </c>
      <c r="B995" s="3" t="s">
        <v>4792</v>
      </c>
      <c r="C995" s="3" t="s">
        <v>4793</v>
      </c>
      <c r="D995" s="3" t="s">
        <v>14</v>
      </c>
      <c r="E995" s="3" t="s">
        <v>4794</v>
      </c>
      <c r="F995" s="3" t="s">
        <v>4795</v>
      </c>
      <c r="G995" s="3"/>
      <c r="H995" s="3" t="s">
        <v>4796</v>
      </c>
      <c r="I995" s="4"/>
      <c r="J995" s="4"/>
      <c r="K995" s="4"/>
      <c r="L995" s="4"/>
    </row>
    <row r="996" spans="1:12" x14ac:dyDescent="0.25">
      <c r="A996" s="2" t="str">
        <f>HYPERLINK("https://www.list-org.com/company/14355061","https://www.list-org.com/company/14355061")</f>
        <v>https://www.list-org.com/company/14355061</v>
      </c>
      <c r="B996" s="3" t="s">
        <v>4797</v>
      </c>
      <c r="C996" s="3" t="s">
        <v>4798</v>
      </c>
      <c r="D996" s="3" t="s">
        <v>14</v>
      </c>
      <c r="E996" s="3" t="s">
        <v>4799</v>
      </c>
      <c r="F996" s="3" t="s">
        <v>4800</v>
      </c>
      <c r="G996" s="3"/>
      <c r="H996" s="3" t="s">
        <v>4801</v>
      </c>
      <c r="I996" s="4"/>
      <c r="J996" s="4"/>
      <c r="K996" s="4"/>
      <c r="L996" s="4"/>
    </row>
    <row r="997" spans="1:12" x14ac:dyDescent="0.25">
      <c r="A997" s="2" t="str">
        <f>HYPERLINK("https://www.list-org.com/company/14355480","https://www.list-org.com/company/14355480")</f>
        <v>https://www.list-org.com/company/14355480</v>
      </c>
      <c r="B997" s="3" t="s">
        <v>4802</v>
      </c>
      <c r="C997" s="3" t="s">
        <v>4803</v>
      </c>
      <c r="D997" s="3" t="s">
        <v>14</v>
      </c>
      <c r="E997" s="3" t="s">
        <v>4804</v>
      </c>
      <c r="F997" s="3" t="s">
        <v>4805</v>
      </c>
      <c r="G997" s="3"/>
      <c r="H997" s="3" t="s">
        <v>4806</v>
      </c>
      <c r="I997" s="4"/>
      <c r="J997" s="4"/>
      <c r="K997" s="4"/>
      <c r="L997" s="4"/>
    </row>
    <row r="998" spans="1:12" x14ac:dyDescent="0.25">
      <c r="A998" s="2" t="str">
        <f>HYPERLINK("https://www.list-org.com/company/14356061","https://www.list-org.com/company/14356061")</f>
        <v>https://www.list-org.com/company/14356061</v>
      </c>
      <c r="B998" s="3" t="s">
        <v>4807</v>
      </c>
      <c r="C998" s="3" t="s">
        <v>4808</v>
      </c>
      <c r="D998" s="3" t="s">
        <v>14</v>
      </c>
      <c r="E998" s="3" t="s">
        <v>4809</v>
      </c>
      <c r="F998" s="3" t="s">
        <v>4810</v>
      </c>
      <c r="G998" s="3"/>
      <c r="H998" s="3" t="s">
        <v>4811</v>
      </c>
      <c r="I998" s="4"/>
      <c r="J998" s="4"/>
      <c r="K998" s="4"/>
      <c r="L998" s="4"/>
    </row>
    <row r="999" spans="1:12" x14ac:dyDescent="0.25">
      <c r="A999" s="2" t="str">
        <f>HYPERLINK("https://www.list-org.com/company/14356690","https://www.list-org.com/company/14356690")</f>
        <v>https://www.list-org.com/company/14356690</v>
      </c>
      <c r="B999" s="3" t="s">
        <v>4812</v>
      </c>
      <c r="C999" s="3" t="s">
        <v>4813</v>
      </c>
      <c r="D999" s="3" t="s">
        <v>14</v>
      </c>
      <c r="E999" s="3" t="s">
        <v>4814</v>
      </c>
      <c r="F999" s="3" t="s">
        <v>4815</v>
      </c>
      <c r="G999" s="3"/>
      <c r="H999" s="3" t="s">
        <v>4816</v>
      </c>
      <c r="I999" s="4"/>
      <c r="J999" s="4"/>
      <c r="K999" s="4"/>
      <c r="L999" s="4"/>
    </row>
    <row r="1000" spans="1:12" x14ac:dyDescent="0.25">
      <c r="A1000" s="2" t="str">
        <f>HYPERLINK("https://www.list-org.com/company/14356852","https://www.list-org.com/company/14356852")</f>
        <v>https://www.list-org.com/company/14356852</v>
      </c>
      <c r="B1000" s="3" t="s">
        <v>4817</v>
      </c>
      <c r="C1000" s="3" t="s">
        <v>4818</v>
      </c>
      <c r="D1000" s="3" t="s">
        <v>14</v>
      </c>
      <c r="E1000" s="3" t="s">
        <v>4819</v>
      </c>
      <c r="F1000" s="3" t="s">
        <v>4820</v>
      </c>
      <c r="G1000" s="3"/>
      <c r="H1000" s="3" t="s">
        <v>4821</v>
      </c>
      <c r="I1000" s="4"/>
      <c r="J1000" s="4"/>
      <c r="K1000" s="4"/>
      <c r="L1000" s="4"/>
    </row>
    <row r="1001" spans="1:12" x14ac:dyDescent="0.25">
      <c r="A1001" s="2" t="str">
        <f>HYPERLINK("https://www.list-org.com/company/14358640","https://www.list-org.com/company/14358640")</f>
        <v>https://www.list-org.com/company/14358640</v>
      </c>
      <c r="B1001" s="3" t="s">
        <v>4822</v>
      </c>
      <c r="C1001" s="3" t="s">
        <v>4823</v>
      </c>
      <c r="D1001" s="3" t="s">
        <v>14</v>
      </c>
      <c r="E1001" s="3" t="s">
        <v>4824</v>
      </c>
      <c r="F1001" s="3" t="s">
        <v>4825</v>
      </c>
      <c r="G1001" s="3"/>
      <c r="H1001" s="3" t="s">
        <v>4826</v>
      </c>
      <c r="I1001" s="4"/>
      <c r="J1001" s="4"/>
      <c r="K1001" s="4"/>
      <c r="L1001" s="4"/>
    </row>
    <row r="1002" spans="1:12" x14ac:dyDescent="0.25">
      <c r="A1002" s="2" t="str">
        <f>HYPERLINK("https://www.list-org.com/company/14359253","https://www.list-org.com/company/14359253")</f>
        <v>https://www.list-org.com/company/14359253</v>
      </c>
      <c r="B1002" s="3" t="s">
        <v>4827</v>
      </c>
      <c r="C1002" s="3" t="s">
        <v>4828</v>
      </c>
      <c r="D1002" s="3" t="s">
        <v>14</v>
      </c>
      <c r="E1002" s="3" t="s">
        <v>4829</v>
      </c>
      <c r="F1002" s="3" t="s">
        <v>4830</v>
      </c>
      <c r="G1002" s="3"/>
      <c r="H1002" s="3" t="s">
        <v>4831</v>
      </c>
      <c r="I1002" s="4"/>
      <c r="J1002" s="4"/>
      <c r="K1002" s="4"/>
      <c r="L1002" s="4"/>
    </row>
    <row r="1003" spans="1:12" x14ac:dyDescent="0.25">
      <c r="A1003" s="2" t="str">
        <f>HYPERLINK("https://www.list-org.com/company/14360311","https://www.list-org.com/company/14360311")</f>
        <v>https://www.list-org.com/company/14360311</v>
      </c>
      <c r="B1003" s="3" t="s">
        <v>4832</v>
      </c>
      <c r="C1003" s="3" t="s">
        <v>4833</v>
      </c>
      <c r="D1003" s="3" t="s">
        <v>14</v>
      </c>
      <c r="E1003" s="3" t="s">
        <v>4834</v>
      </c>
      <c r="F1003" s="3" t="s">
        <v>4835</v>
      </c>
      <c r="G1003" s="3"/>
      <c r="H1003" s="3" t="s">
        <v>4836</v>
      </c>
      <c r="I1003" s="4"/>
      <c r="J1003" s="4"/>
      <c r="K1003" s="4"/>
      <c r="L1003" s="4"/>
    </row>
    <row r="1004" spans="1:12" x14ac:dyDescent="0.25">
      <c r="A1004" s="2" t="str">
        <f>HYPERLINK("https://www.list-org.com/company/14360871","https://www.list-org.com/company/14360871")</f>
        <v>https://www.list-org.com/company/14360871</v>
      </c>
      <c r="B1004" s="3" t="s">
        <v>4837</v>
      </c>
      <c r="C1004" s="3" t="s">
        <v>4838</v>
      </c>
      <c r="D1004" s="3" t="s">
        <v>14</v>
      </c>
      <c r="E1004" s="3" t="s">
        <v>4839</v>
      </c>
      <c r="F1004" s="3" t="s">
        <v>4840</v>
      </c>
      <c r="G1004" s="3"/>
      <c r="H1004" s="3" t="s">
        <v>4841</v>
      </c>
      <c r="I1004" s="4"/>
      <c r="J1004" s="4"/>
      <c r="K1004" s="4"/>
      <c r="L1004" s="4"/>
    </row>
    <row r="1005" spans="1:12" x14ac:dyDescent="0.25">
      <c r="A1005" s="2" t="str">
        <f>HYPERLINK("https://www.list-org.com/company/14361132","https://www.list-org.com/company/14361132")</f>
        <v>https://www.list-org.com/company/14361132</v>
      </c>
      <c r="B1005" s="3" t="s">
        <v>4842</v>
      </c>
      <c r="C1005" s="3" t="s">
        <v>4843</v>
      </c>
      <c r="D1005" s="3" t="s">
        <v>14</v>
      </c>
      <c r="E1005" s="3" t="s">
        <v>4844</v>
      </c>
      <c r="F1005" s="3" t="s">
        <v>4845</v>
      </c>
      <c r="G1005" s="3"/>
      <c r="H1005" s="3" t="s">
        <v>4846</v>
      </c>
      <c r="I1005" s="4"/>
      <c r="J1005" s="4"/>
      <c r="K1005" s="4"/>
      <c r="L1005" s="4"/>
    </row>
    <row r="1006" spans="1:12" x14ac:dyDescent="0.25">
      <c r="A1006" s="2" t="str">
        <f>HYPERLINK("https://www.list-org.com/company/14361695","https://www.list-org.com/company/14361695")</f>
        <v>https://www.list-org.com/company/14361695</v>
      </c>
      <c r="B1006" s="3" t="s">
        <v>4847</v>
      </c>
      <c r="C1006" s="3" t="s">
        <v>4848</v>
      </c>
      <c r="D1006" s="3" t="s">
        <v>14</v>
      </c>
      <c r="E1006" s="3" t="s">
        <v>4849</v>
      </c>
      <c r="F1006" s="3" t="s">
        <v>4850</v>
      </c>
      <c r="G1006" s="3"/>
      <c r="H1006" s="3" t="s">
        <v>4851</v>
      </c>
      <c r="I1006" s="4"/>
      <c r="J1006" s="4"/>
      <c r="K1006" s="4"/>
      <c r="L1006" s="4"/>
    </row>
    <row r="1007" spans="1:12" x14ac:dyDescent="0.25">
      <c r="A1007" s="2" t="str">
        <f>HYPERLINK("https://www.list-org.com/company/14363396","https://www.list-org.com/company/14363396")</f>
        <v>https://www.list-org.com/company/14363396</v>
      </c>
      <c r="B1007" s="3" t="s">
        <v>4852</v>
      </c>
      <c r="C1007" s="3" t="s">
        <v>4853</v>
      </c>
      <c r="D1007" s="3" t="s">
        <v>14</v>
      </c>
      <c r="E1007" s="3" t="s">
        <v>4854</v>
      </c>
      <c r="F1007" s="3" t="s">
        <v>4855</v>
      </c>
      <c r="G1007" s="3"/>
      <c r="H1007" s="3" t="s">
        <v>4856</v>
      </c>
      <c r="I1007" s="4"/>
      <c r="J1007" s="4"/>
      <c r="K1007" s="4"/>
      <c r="L1007" s="4"/>
    </row>
    <row r="1008" spans="1:12" x14ac:dyDescent="0.25">
      <c r="A1008" s="2" t="str">
        <f>HYPERLINK("https://www.list-org.com/company/14364147","https://www.list-org.com/company/14364147")</f>
        <v>https://www.list-org.com/company/14364147</v>
      </c>
      <c r="B1008" s="3" t="s">
        <v>3459</v>
      </c>
      <c r="C1008" s="3" t="s">
        <v>3460</v>
      </c>
      <c r="D1008" s="3" t="s">
        <v>14</v>
      </c>
      <c r="E1008" s="3" t="s">
        <v>4857</v>
      </c>
      <c r="F1008" s="3" t="s">
        <v>4858</v>
      </c>
      <c r="G1008" s="3"/>
      <c r="H1008" s="3" t="s">
        <v>3409</v>
      </c>
      <c r="I1008" s="4"/>
      <c r="J1008" s="4"/>
      <c r="K1008" s="4"/>
      <c r="L1008" s="4"/>
    </row>
    <row r="1009" spans="1:12" x14ac:dyDescent="0.25">
      <c r="A1009" s="2" t="str">
        <f>HYPERLINK("https://www.list-org.com/company/14364987","https://www.list-org.com/company/14364987")</f>
        <v>https://www.list-org.com/company/14364987</v>
      </c>
      <c r="B1009" s="3" t="s">
        <v>4859</v>
      </c>
      <c r="C1009" s="3" t="s">
        <v>4860</v>
      </c>
      <c r="D1009" s="3" t="s">
        <v>14</v>
      </c>
      <c r="E1009" s="3" t="s">
        <v>4861</v>
      </c>
      <c r="F1009" s="3" t="s">
        <v>4862</v>
      </c>
      <c r="G1009" s="3"/>
      <c r="H1009" s="3" t="s">
        <v>1624</v>
      </c>
      <c r="I1009" s="4"/>
      <c r="J1009" s="4"/>
      <c r="K1009" s="4"/>
      <c r="L1009" s="4"/>
    </row>
    <row r="1010" spans="1:12" x14ac:dyDescent="0.25">
      <c r="A1010" s="2" t="str">
        <f>HYPERLINK("https://www.list-org.com/company/14365837","https://www.list-org.com/company/14365837")</f>
        <v>https://www.list-org.com/company/14365837</v>
      </c>
      <c r="B1010" s="3" t="s">
        <v>4863</v>
      </c>
      <c r="C1010" s="3" t="s">
        <v>4864</v>
      </c>
      <c r="D1010" s="3" t="s">
        <v>14</v>
      </c>
      <c r="E1010" s="3" t="s">
        <v>4865</v>
      </c>
      <c r="F1010" s="3" t="s">
        <v>4866</v>
      </c>
      <c r="G1010" s="3"/>
      <c r="H1010" s="3" t="s">
        <v>4867</v>
      </c>
      <c r="I1010" s="4"/>
      <c r="J1010" s="4">
        <v>28459</v>
      </c>
      <c r="K1010" s="4">
        <v>1614</v>
      </c>
      <c r="L1010" s="4">
        <v>2246</v>
      </c>
    </row>
    <row r="1011" spans="1:12" x14ac:dyDescent="0.25">
      <c r="A1011" s="2" t="str">
        <f>HYPERLINK("https://www.list-org.com/company/14365860","https://www.list-org.com/company/14365860")</f>
        <v>https://www.list-org.com/company/14365860</v>
      </c>
      <c r="B1011" s="3" t="s">
        <v>4868</v>
      </c>
      <c r="C1011" s="3" t="s">
        <v>4869</v>
      </c>
      <c r="D1011" s="3" t="s">
        <v>14</v>
      </c>
      <c r="E1011" s="3" t="s">
        <v>4870</v>
      </c>
      <c r="F1011" s="3" t="s">
        <v>4871</v>
      </c>
      <c r="G1011" s="3"/>
      <c r="H1011" s="3" t="s">
        <v>1289</v>
      </c>
      <c r="I1011" s="4"/>
      <c r="J1011" s="4"/>
      <c r="K1011" s="4"/>
      <c r="L1011" s="4"/>
    </row>
    <row r="1012" spans="1:12" x14ac:dyDescent="0.25">
      <c r="A1012" s="2" t="str">
        <f>HYPERLINK("https://www.list-org.com/company/14365909","https://www.list-org.com/company/14365909")</f>
        <v>https://www.list-org.com/company/14365909</v>
      </c>
      <c r="B1012" s="3" t="s">
        <v>4872</v>
      </c>
      <c r="C1012" s="3" t="s">
        <v>4873</v>
      </c>
      <c r="D1012" s="3" t="s">
        <v>14</v>
      </c>
      <c r="E1012" s="3" t="s">
        <v>4874</v>
      </c>
      <c r="F1012" s="3" t="s">
        <v>4875</v>
      </c>
      <c r="G1012" s="3"/>
      <c r="H1012" s="3" t="s">
        <v>4876</v>
      </c>
      <c r="I1012" s="4"/>
      <c r="J1012" s="4"/>
      <c r="K1012" s="4"/>
      <c r="L1012" s="4"/>
    </row>
    <row r="1013" spans="1:12" x14ac:dyDescent="0.25">
      <c r="A1013" s="2" t="str">
        <f>HYPERLINK("https://www.list-org.com/company/14366301","https://www.list-org.com/company/14366301")</f>
        <v>https://www.list-org.com/company/14366301</v>
      </c>
      <c r="B1013" s="3" t="s">
        <v>4877</v>
      </c>
      <c r="C1013" s="3" t="s">
        <v>4878</v>
      </c>
      <c r="D1013" s="3" t="s">
        <v>14</v>
      </c>
      <c r="E1013" s="3" t="s">
        <v>4879</v>
      </c>
      <c r="F1013" s="3" t="s">
        <v>4880</v>
      </c>
      <c r="G1013" s="3"/>
      <c r="H1013" s="3" t="s">
        <v>4881</v>
      </c>
      <c r="I1013" s="4"/>
      <c r="J1013" s="4"/>
      <c r="K1013" s="4"/>
      <c r="L1013" s="4"/>
    </row>
    <row r="1014" spans="1:12" x14ac:dyDescent="0.25">
      <c r="A1014" s="2" t="str">
        <f>HYPERLINK("https://www.list-org.com/company/14367328","https://www.list-org.com/company/14367328")</f>
        <v>https://www.list-org.com/company/14367328</v>
      </c>
      <c r="B1014" s="3" t="s">
        <v>4882</v>
      </c>
      <c r="C1014" s="3" t="s">
        <v>4883</v>
      </c>
      <c r="D1014" s="3" t="s">
        <v>14</v>
      </c>
      <c r="E1014" s="3" t="s">
        <v>4884</v>
      </c>
      <c r="F1014" s="3" t="s">
        <v>4885</v>
      </c>
      <c r="G1014" s="3"/>
      <c r="H1014" s="3" t="s">
        <v>316</v>
      </c>
      <c r="I1014" s="4"/>
      <c r="J1014" s="4"/>
      <c r="K1014" s="4"/>
      <c r="L1014" s="4"/>
    </row>
    <row r="1015" spans="1:12" x14ac:dyDescent="0.25">
      <c r="A1015" s="2" t="str">
        <f>HYPERLINK("https://www.list-org.com/company/14368823","https://www.list-org.com/company/14368823")</f>
        <v>https://www.list-org.com/company/14368823</v>
      </c>
      <c r="B1015" s="3" t="s">
        <v>4886</v>
      </c>
      <c r="C1015" s="3" t="s">
        <v>4887</v>
      </c>
      <c r="D1015" s="3" t="s">
        <v>14</v>
      </c>
      <c r="E1015" s="3" t="s">
        <v>4888</v>
      </c>
      <c r="F1015" s="3" t="s">
        <v>4889</v>
      </c>
      <c r="G1015" s="3"/>
      <c r="H1015" s="3" t="s">
        <v>4890</v>
      </c>
      <c r="I1015" s="4"/>
      <c r="J1015" s="4"/>
      <c r="K1015" s="4"/>
      <c r="L1015" s="4"/>
    </row>
    <row r="1016" spans="1:12" x14ac:dyDescent="0.25">
      <c r="A1016" s="2" t="str">
        <f>HYPERLINK("https://www.list-org.com/company/14370982","https://www.list-org.com/company/14370982")</f>
        <v>https://www.list-org.com/company/14370982</v>
      </c>
      <c r="B1016" s="3" t="s">
        <v>4891</v>
      </c>
      <c r="C1016" s="3" t="s">
        <v>4892</v>
      </c>
      <c r="D1016" s="3" t="s">
        <v>14</v>
      </c>
      <c r="E1016" s="3" t="s">
        <v>4893</v>
      </c>
      <c r="F1016" s="3" t="s">
        <v>4894</v>
      </c>
      <c r="G1016" s="3"/>
      <c r="H1016" s="3" t="s">
        <v>4895</v>
      </c>
      <c r="I1016" s="4"/>
      <c r="J1016" s="4"/>
      <c r="K1016" s="4"/>
      <c r="L1016" s="4"/>
    </row>
    <row r="1017" spans="1:12" x14ac:dyDescent="0.25">
      <c r="A1017" s="2" t="str">
        <f>HYPERLINK("https://www.list-org.com/company/14370996","https://www.list-org.com/company/14370996")</f>
        <v>https://www.list-org.com/company/14370996</v>
      </c>
      <c r="B1017" s="3" t="s">
        <v>4896</v>
      </c>
      <c r="C1017" s="3" t="s">
        <v>4897</v>
      </c>
      <c r="D1017" s="3" t="s">
        <v>14</v>
      </c>
      <c r="E1017" s="3" t="s">
        <v>4898</v>
      </c>
      <c r="F1017" s="3" t="s">
        <v>4899</v>
      </c>
      <c r="G1017" s="3"/>
      <c r="H1017" s="3" t="s">
        <v>4720</v>
      </c>
      <c r="I1017" s="4"/>
      <c r="J1017" s="4"/>
      <c r="K1017" s="4"/>
      <c r="L1017" s="4"/>
    </row>
    <row r="1018" spans="1:12" x14ac:dyDescent="0.25">
      <c r="A1018" s="2" t="str">
        <f>HYPERLINK("https://www.list-org.com/company/14372152","https://www.list-org.com/company/14372152")</f>
        <v>https://www.list-org.com/company/14372152</v>
      </c>
      <c r="B1018" s="3" t="s">
        <v>4900</v>
      </c>
      <c r="C1018" s="3" t="s">
        <v>4901</v>
      </c>
      <c r="D1018" s="3" t="s">
        <v>14</v>
      </c>
      <c r="E1018" s="3" t="s">
        <v>4902</v>
      </c>
      <c r="F1018" s="3" t="s">
        <v>4903</v>
      </c>
      <c r="G1018" s="3"/>
      <c r="H1018" s="3" t="s">
        <v>4607</v>
      </c>
      <c r="I1018" s="4"/>
      <c r="J1018" s="4"/>
      <c r="K1018" s="4"/>
      <c r="L1018" s="4"/>
    </row>
    <row r="1019" spans="1:12" x14ac:dyDescent="0.25">
      <c r="A1019" s="2" t="str">
        <f>HYPERLINK("https://www.list-org.com/company/14373257","https://www.list-org.com/company/14373257")</f>
        <v>https://www.list-org.com/company/14373257</v>
      </c>
      <c r="B1019" s="3" t="s">
        <v>4904</v>
      </c>
      <c r="C1019" s="3" t="s">
        <v>4905</v>
      </c>
      <c r="D1019" s="3" t="s">
        <v>14</v>
      </c>
      <c r="E1019" s="3" t="s">
        <v>4906</v>
      </c>
      <c r="F1019" s="3" t="s">
        <v>4907</v>
      </c>
      <c r="G1019" s="3"/>
      <c r="H1019" s="3" t="s">
        <v>4908</v>
      </c>
      <c r="I1019" s="4"/>
      <c r="J1019" s="4">
        <v>11317</v>
      </c>
      <c r="K1019" s="4">
        <v>436</v>
      </c>
      <c r="L1019" s="4">
        <v>447</v>
      </c>
    </row>
    <row r="1020" spans="1:12" x14ac:dyDescent="0.25">
      <c r="A1020" s="2" t="str">
        <f>HYPERLINK("https://www.list-org.com/company/14374350","https://www.list-org.com/company/14374350")</f>
        <v>https://www.list-org.com/company/14374350</v>
      </c>
      <c r="B1020" s="3" t="s">
        <v>842</v>
      </c>
      <c r="C1020" s="3" t="s">
        <v>843</v>
      </c>
      <c r="D1020" s="3" t="s">
        <v>14</v>
      </c>
      <c r="E1020" s="3" t="s">
        <v>4909</v>
      </c>
      <c r="F1020" s="3" t="s">
        <v>4910</v>
      </c>
      <c r="G1020" s="3"/>
      <c r="H1020" s="3" t="s">
        <v>4911</v>
      </c>
      <c r="I1020" s="4"/>
      <c r="J1020" s="4"/>
      <c r="K1020" s="4"/>
      <c r="L1020" s="4"/>
    </row>
    <row r="1021" spans="1:12" x14ac:dyDescent="0.25">
      <c r="A1021" s="2" t="str">
        <f>HYPERLINK("https://www.list-org.com/company/14375845","https://www.list-org.com/company/14375845")</f>
        <v>https://www.list-org.com/company/14375845</v>
      </c>
      <c r="B1021" s="3" t="s">
        <v>4912</v>
      </c>
      <c r="C1021" s="3" t="s">
        <v>4913</v>
      </c>
      <c r="D1021" s="3" t="s">
        <v>14</v>
      </c>
      <c r="E1021" s="3" t="s">
        <v>4914</v>
      </c>
      <c r="F1021" s="3" t="s">
        <v>4915</v>
      </c>
      <c r="G1021" s="3"/>
      <c r="H1021" s="3" t="s">
        <v>4916</v>
      </c>
      <c r="I1021" s="4"/>
      <c r="J1021" s="4"/>
      <c r="K1021" s="4"/>
      <c r="L1021" s="4"/>
    </row>
    <row r="1022" spans="1:12" x14ac:dyDescent="0.25">
      <c r="A1022" s="2" t="str">
        <f>HYPERLINK("https://www.list-org.com/company/14376684","https://www.list-org.com/company/14376684")</f>
        <v>https://www.list-org.com/company/14376684</v>
      </c>
      <c r="B1022" s="3" t="s">
        <v>4917</v>
      </c>
      <c r="C1022" s="3" t="s">
        <v>4918</v>
      </c>
      <c r="D1022" s="3" t="s">
        <v>14</v>
      </c>
      <c r="E1022" s="3" t="s">
        <v>4919</v>
      </c>
      <c r="F1022" s="3" t="s">
        <v>4920</v>
      </c>
      <c r="G1022" s="3"/>
      <c r="H1022" s="3" t="s">
        <v>2020</v>
      </c>
      <c r="I1022" s="4"/>
      <c r="J1022" s="4"/>
      <c r="K1022" s="4"/>
      <c r="L1022" s="4"/>
    </row>
    <row r="1023" spans="1:12" x14ac:dyDescent="0.25">
      <c r="A1023" s="2" t="str">
        <f>HYPERLINK("https://www.list-org.com/company/14377264","https://www.list-org.com/company/14377264")</f>
        <v>https://www.list-org.com/company/14377264</v>
      </c>
      <c r="B1023" s="3" t="s">
        <v>4921</v>
      </c>
      <c r="C1023" s="3" t="s">
        <v>4922</v>
      </c>
      <c r="D1023" s="3" t="s">
        <v>14</v>
      </c>
      <c r="E1023" s="3" t="s">
        <v>4923</v>
      </c>
      <c r="F1023" s="3" t="s">
        <v>4924</v>
      </c>
      <c r="G1023" s="3"/>
      <c r="H1023" s="3" t="s">
        <v>4925</v>
      </c>
      <c r="I1023" s="4"/>
      <c r="J1023" s="4"/>
      <c r="K1023" s="4"/>
      <c r="L1023" s="4"/>
    </row>
    <row r="1024" spans="1:12" x14ac:dyDescent="0.25">
      <c r="A1024" s="2" t="str">
        <f>HYPERLINK("https://www.list-org.com/company/14377880","https://www.list-org.com/company/14377880")</f>
        <v>https://www.list-org.com/company/14377880</v>
      </c>
      <c r="B1024" s="3" t="s">
        <v>4926</v>
      </c>
      <c r="C1024" s="3" t="s">
        <v>4927</v>
      </c>
      <c r="D1024" s="3" t="s">
        <v>14</v>
      </c>
      <c r="E1024" s="3" t="s">
        <v>4928</v>
      </c>
      <c r="F1024" s="3" t="s">
        <v>4929</v>
      </c>
      <c r="G1024" s="3"/>
      <c r="H1024" s="3" t="s">
        <v>4930</v>
      </c>
      <c r="I1024" s="4"/>
      <c r="J1024" s="4"/>
      <c r="K1024" s="4"/>
      <c r="L1024" s="4"/>
    </row>
    <row r="1025" spans="1:12" x14ac:dyDescent="0.25">
      <c r="A1025" s="2" t="str">
        <f>HYPERLINK("https://www.list-org.com/company/14378067","https://www.list-org.com/company/14378067")</f>
        <v>https://www.list-org.com/company/14378067</v>
      </c>
      <c r="B1025" s="3" t="s">
        <v>4931</v>
      </c>
      <c r="C1025" s="3" t="s">
        <v>4932</v>
      </c>
      <c r="D1025" s="3" t="s">
        <v>14</v>
      </c>
      <c r="E1025" s="3" t="s">
        <v>4933</v>
      </c>
      <c r="F1025" s="3" t="s">
        <v>4934</v>
      </c>
      <c r="G1025" s="3"/>
      <c r="H1025" s="3" t="s">
        <v>4935</v>
      </c>
      <c r="I1025" s="4"/>
      <c r="J1025" s="4"/>
      <c r="K1025" s="4"/>
      <c r="L1025" s="4"/>
    </row>
    <row r="1026" spans="1:12" x14ac:dyDescent="0.25">
      <c r="A1026" s="2" t="str">
        <f>HYPERLINK("https://www.list-org.com/company/14378987","https://www.list-org.com/company/14378987")</f>
        <v>https://www.list-org.com/company/14378987</v>
      </c>
      <c r="B1026" s="3" t="s">
        <v>4936</v>
      </c>
      <c r="C1026" s="3" t="s">
        <v>4937</v>
      </c>
      <c r="D1026" s="3" t="s">
        <v>14</v>
      </c>
      <c r="E1026" s="3" t="s">
        <v>4938</v>
      </c>
      <c r="F1026" s="3" t="s">
        <v>4939</v>
      </c>
      <c r="G1026" s="3"/>
      <c r="H1026" s="3" t="s">
        <v>4940</v>
      </c>
      <c r="I1026" s="4"/>
      <c r="J1026" s="4"/>
      <c r="K1026" s="4"/>
      <c r="L1026" s="4"/>
    </row>
    <row r="1027" spans="1:12" x14ac:dyDescent="0.25">
      <c r="A1027" s="2" t="str">
        <f>HYPERLINK("https://www.list-org.com/company/14379086","https://www.list-org.com/company/14379086")</f>
        <v>https://www.list-org.com/company/14379086</v>
      </c>
      <c r="B1027" s="3" t="s">
        <v>4941</v>
      </c>
      <c r="C1027" s="3" t="s">
        <v>4942</v>
      </c>
      <c r="D1027" s="3" t="s">
        <v>14</v>
      </c>
      <c r="E1027" s="3" t="s">
        <v>4943</v>
      </c>
      <c r="F1027" s="3" t="s">
        <v>4944</v>
      </c>
      <c r="G1027" s="3"/>
      <c r="H1027" s="3" t="s">
        <v>4945</v>
      </c>
      <c r="I1027" s="4"/>
      <c r="J1027" s="4"/>
      <c r="K1027" s="4"/>
      <c r="L1027" s="4"/>
    </row>
    <row r="1028" spans="1:12" x14ac:dyDescent="0.25">
      <c r="A1028" s="2" t="str">
        <f>HYPERLINK("https://www.list-org.com/company/14379483","https://www.list-org.com/company/14379483")</f>
        <v>https://www.list-org.com/company/14379483</v>
      </c>
      <c r="B1028" s="3" t="s">
        <v>4946</v>
      </c>
      <c r="C1028" s="3" t="s">
        <v>4947</v>
      </c>
      <c r="D1028" s="3" t="s">
        <v>14</v>
      </c>
      <c r="E1028" s="3" t="s">
        <v>4948</v>
      </c>
      <c r="F1028" s="3" t="s">
        <v>4949</v>
      </c>
      <c r="G1028" s="3"/>
      <c r="H1028" s="3" t="s">
        <v>4950</v>
      </c>
      <c r="I1028" s="4"/>
      <c r="J1028" s="4">
        <v>697</v>
      </c>
      <c r="K1028" s="4">
        <v>-406</v>
      </c>
      <c r="L1028" s="4">
        <v>-336</v>
      </c>
    </row>
    <row r="1029" spans="1:12" x14ac:dyDescent="0.25">
      <c r="A1029" s="2" t="str">
        <f>HYPERLINK("https://www.list-org.com/company/14382121","https://www.list-org.com/company/14382121")</f>
        <v>https://www.list-org.com/company/14382121</v>
      </c>
      <c r="B1029" s="3" t="s">
        <v>4951</v>
      </c>
      <c r="C1029" s="3" t="s">
        <v>4952</v>
      </c>
      <c r="D1029" s="3" t="s">
        <v>14</v>
      </c>
      <c r="E1029" s="3" t="s">
        <v>4953</v>
      </c>
      <c r="F1029" s="3" t="s">
        <v>4954</v>
      </c>
      <c r="G1029" s="3"/>
      <c r="H1029" s="3" t="s">
        <v>3782</v>
      </c>
      <c r="I1029" s="4"/>
      <c r="J1029" s="4"/>
      <c r="K1029" s="4"/>
      <c r="L1029" s="4"/>
    </row>
    <row r="1030" spans="1:12" x14ac:dyDescent="0.25">
      <c r="A1030" s="2" t="str">
        <f>HYPERLINK("https://www.list-org.com/company/14382122","https://www.list-org.com/company/14382122")</f>
        <v>https://www.list-org.com/company/14382122</v>
      </c>
      <c r="B1030" s="3" t="s">
        <v>4955</v>
      </c>
      <c r="C1030" s="3" t="s">
        <v>4956</v>
      </c>
      <c r="D1030" s="3" t="s">
        <v>14</v>
      </c>
      <c r="E1030" s="3" t="s">
        <v>4957</v>
      </c>
      <c r="F1030" s="3" t="s">
        <v>4958</v>
      </c>
      <c r="G1030" s="3"/>
      <c r="H1030" s="3" t="s">
        <v>3782</v>
      </c>
      <c r="I1030" s="4"/>
      <c r="J1030" s="4"/>
      <c r="K1030" s="4"/>
      <c r="L1030" s="4"/>
    </row>
    <row r="1031" spans="1:12" x14ac:dyDescent="0.25">
      <c r="A1031" s="2" t="str">
        <f>HYPERLINK("https://www.list-org.com/company/14384030","https://www.list-org.com/company/14384030")</f>
        <v>https://www.list-org.com/company/14384030</v>
      </c>
      <c r="B1031" s="3" t="s">
        <v>4959</v>
      </c>
      <c r="C1031" s="3" t="s">
        <v>4960</v>
      </c>
      <c r="D1031" s="3" t="s">
        <v>14</v>
      </c>
      <c r="E1031" s="3" t="s">
        <v>4961</v>
      </c>
      <c r="F1031" s="3" t="s">
        <v>4962</v>
      </c>
      <c r="G1031" s="3"/>
      <c r="H1031" s="3" t="s">
        <v>1466</v>
      </c>
      <c r="I1031" s="4"/>
      <c r="J1031" s="4"/>
      <c r="K1031" s="4"/>
      <c r="L1031" s="4"/>
    </row>
    <row r="1032" spans="1:12" x14ac:dyDescent="0.25">
      <c r="A1032" s="2" t="str">
        <f>HYPERLINK("https://www.list-org.com/company/14384521","https://www.list-org.com/company/14384521")</f>
        <v>https://www.list-org.com/company/14384521</v>
      </c>
      <c r="B1032" s="3" t="s">
        <v>4963</v>
      </c>
      <c r="C1032" s="3" t="s">
        <v>4964</v>
      </c>
      <c r="D1032" s="3" t="s">
        <v>14</v>
      </c>
      <c r="E1032" s="3" t="s">
        <v>4965</v>
      </c>
      <c r="F1032" s="3" t="s">
        <v>4966</v>
      </c>
      <c r="G1032" s="3"/>
      <c r="H1032" s="3" t="s">
        <v>4967</v>
      </c>
      <c r="I1032" s="4"/>
      <c r="J1032" s="4"/>
      <c r="K1032" s="4"/>
      <c r="L1032" s="4"/>
    </row>
    <row r="1033" spans="1:12" x14ac:dyDescent="0.25">
      <c r="A1033" s="2" t="str">
        <f>HYPERLINK("https://www.list-org.com/company/14384798","https://www.list-org.com/company/14384798")</f>
        <v>https://www.list-org.com/company/14384798</v>
      </c>
      <c r="B1033" s="3" t="s">
        <v>4968</v>
      </c>
      <c r="C1033" s="3" t="s">
        <v>4969</v>
      </c>
      <c r="D1033" s="3" t="s">
        <v>14</v>
      </c>
      <c r="E1033" s="3" t="s">
        <v>4970</v>
      </c>
      <c r="F1033" s="3" t="s">
        <v>4971</v>
      </c>
      <c r="G1033" s="3"/>
      <c r="H1033" s="3" t="s">
        <v>1536</v>
      </c>
      <c r="I1033" s="4"/>
      <c r="J1033" s="4"/>
      <c r="K1033" s="4"/>
      <c r="L1033" s="4"/>
    </row>
    <row r="1034" spans="1:12" x14ac:dyDescent="0.25">
      <c r="A1034" s="2" t="str">
        <f>HYPERLINK("https://www.list-org.com/company/14386477","https://www.list-org.com/company/14386477")</f>
        <v>https://www.list-org.com/company/14386477</v>
      </c>
      <c r="B1034" s="3" t="s">
        <v>4972</v>
      </c>
      <c r="C1034" s="3" t="s">
        <v>4973</v>
      </c>
      <c r="D1034" s="3" t="s">
        <v>14</v>
      </c>
      <c r="E1034" s="3" t="s">
        <v>4974</v>
      </c>
      <c r="F1034" s="3" t="s">
        <v>4975</v>
      </c>
      <c r="G1034" s="3"/>
      <c r="H1034" s="3" t="s">
        <v>4720</v>
      </c>
      <c r="I1034" s="4"/>
      <c r="J1034" s="4"/>
      <c r="K1034" s="4"/>
      <c r="L1034" s="4"/>
    </row>
    <row r="1035" spans="1:12" x14ac:dyDescent="0.25">
      <c r="A1035" s="2" t="str">
        <f>HYPERLINK("https://www.list-org.com/company/14386847","https://www.list-org.com/company/14386847")</f>
        <v>https://www.list-org.com/company/14386847</v>
      </c>
      <c r="B1035" s="3" t="s">
        <v>4976</v>
      </c>
      <c r="C1035" s="3" t="s">
        <v>4977</v>
      </c>
      <c r="D1035" s="3" t="s">
        <v>14</v>
      </c>
      <c r="E1035" s="3" t="s">
        <v>4978</v>
      </c>
      <c r="F1035" s="3" t="s">
        <v>4979</v>
      </c>
      <c r="G1035" s="3"/>
      <c r="H1035" s="3" t="s">
        <v>483</v>
      </c>
      <c r="I1035" s="4"/>
      <c r="J1035" s="4"/>
      <c r="K1035" s="4"/>
      <c r="L1035" s="4"/>
    </row>
    <row r="1036" spans="1:12" x14ac:dyDescent="0.25">
      <c r="A1036" s="2" t="str">
        <f>HYPERLINK("https://www.list-org.com/company/14388911","https://www.list-org.com/company/14388911")</f>
        <v>https://www.list-org.com/company/14388911</v>
      </c>
      <c r="B1036" s="3" t="s">
        <v>4980</v>
      </c>
      <c r="C1036" s="3" t="s">
        <v>4981</v>
      </c>
      <c r="D1036" s="3" t="s">
        <v>14</v>
      </c>
      <c r="E1036" s="3" t="s">
        <v>4982</v>
      </c>
      <c r="F1036" s="3" t="s">
        <v>4983</v>
      </c>
      <c r="G1036" s="3"/>
      <c r="H1036" s="3" t="s">
        <v>4984</v>
      </c>
      <c r="I1036" s="4"/>
      <c r="J1036" s="4"/>
      <c r="K1036" s="4"/>
      <c r="L1036" s="4"/>
    </row>
    <row r="1037" spans="1:12" x14ac:dyDescent="0.25">
      <c r="A1037" s="2" t="str">
        <f>HYPERLINK("https://www.list-org.com/company/14389471","https://www.list-org.com/company/14389471")</f>
        <v>https://www.list-org.com/company/14389471</v>
      </c>
      <c r="B1037" s="3" t="s">
        <v>4985</v>
      </c>
      <c r="C1037" s="3" t="s">
        <v>4986</v>
      </c>
      <c r="D1037" s="3" t="s">
        <v>14</v>
      </c>
      <c r="E1037" s="3" t="s">
        <v>4987</v>
      </c>
      <c r="F1037" s="3" t="s">
        <v>4988</v>
      </c>
      <c r="G1037" s="3"/>
      <c r="H1037" s="3" t="s">
        <v>4641</v>
      </c>
      <c r="I1037" s="4"/>
      <c r="J1037" s="4">
        <v>9840</v>
      </c>
      <c r="K1037" s="4">
        <v>3042</v>
      </c>
      <c r="L1037" s="4">
        <v>3242</v>
      </c>
    </row>
    <row r="1038" spans="1:12" x14ac:dyDescent="0.25">
      <c r="A1038" s="2" t="str">
        <f>HYPERLINK("https://www.list-org.com/company/14389944","https://www.list-org.com/company/14389944")</f>
        <v>https://www.list-org.com/company/14389944</v>
      </c>
      <c r="B1038" s="3" t="s">
        <v>4989</v>
      </c>
      <c r="C1038" s="3" t="s">
        <v>4990</v>
      </c>
      <c r="D1038" s="3" t="s">
        <v>14</v>
      </c>
      <c r="E1038" s="3" t="s">
        <v>4991</v>
      </c>
      <c r="F1038" s="3" t="s">
        <v>4992</v>
      </c>
      <c r="G1038" s="3"/>
      <c r="H1038" s="3" t="s">
        <v>4993</v>
      </c>
      <c r="I1038" s="4"/>
      <c r="J1038" s="4"/>
      <c r="K1038" s="4"/>
      <c r="L1038" s="4"/>
    </row>
    <row r="1039" spans="1:12" x14ac:dyDescent="0.25">
      <c r="A1039" s="2" t="str">
        <f>HYPERLINK("https://www.list-org.com/company/14390227","https://www.list-org.com/company/14390227")</f>
        <v>https://www.list-org.com/company/14390227</v>
      </c>
      <c r="B1039" s="3" t="s">
        <v>4994</v>
      </c>
      <c r="C1039" s="3" t="s">
        <v>4995</v>
      </c>
      <c r="D1039" s="3" t="s">
        <v>14</v>
      </c>
      <c r="E1039" s="3" t="s">
        <v>4996</v>
      </c>
      <c r="F1039" s="3" t="s">
        <v>4997</v>
      </c>
      <c r="G1039" s="3"/>
      <c r="H1039" s="3" t="s">
        <v>4998</v>
      </c>
      <c r="I1039" s="4"/>
      <c r="J1039" s="4"/>
      <c r="K1039" s="4"/>
      <c r="L1039" s="4"/>
    </row>
    <row r="1040" spans="1:12" x14ac:dyDescent="0.25">
      <c r="A1040" s="2" t="str">
        <f>HYPERLINK("https://www.list-org.com/company/14390246","https://www.list-org.com/company/14390246")</f>
        <v>https://www.list-org.com/company/14390246</v>
      </c>
      <c r="B1040" s="3" t="s">
        <v>4999</v>
      </c>
      <c r="C1040" s="3" t="s">
        <v>5000</v>
      </c>
      <c r="D1040" s="3" t="s">
        <v>14</v>
      </c>
      <c r="E1040" s="3" t="s">
        <v>5001</v>
      </c>
      <c r="F1040" s="3" t="s">
        <v>5002</v>
      </c>
      <c r="G1040" s="3"/>
      <c r="H1040" s="3" t="s">
        <v>4984</v>
      </c>
      <c r="I1040" s="4"/>
      <c r="J1040" s="4"/>
      <c r="K1040" s="4"/>
      <c r="L1040" s="4"/>
    </row>
    <row r="1041" spans="1:12" x14ac:dyDescent="0.25">
      <c r="A1041" s="2" t="str">
        <f>HYPERLINK("https://www.list-org.com/company/14390346","https://www.list-org.com/company/14390346")</f>
        <v>https://www.list-org.com/company/14390346</v>
      </c>
      <c r="B1041" s="3" t="s">
        <v>5003</v>
      </c>
      <c r="C1041" s="3" t="s">
        <v>5004</v>
      </c>
      <c r="D1041" s="3" t="s">
        <v>14</v>
      </c>
      <c r="E1041" s="3" t="s">
        <v>5005</v>
      </c>
      <c r="F1041" s="3" t="s">
        <v>5006</v>
      </c>
      <c r="G1041" s="3"/>
      <c r="H1041" s="3" t="s">
        <v>4548</v>
      </c>
      <c r="I1041" s="4"/>
      <c r="J1041" s="4"/>
      <c r="K1041" s="4"/>
      <c r="L1041" s="4"/>
    </row>
    <row r="1042" spans="1:12" x14ac:dyDescent="0.25">
      <c r="A1042" s="2" t="str">
        <f>HYPERLINK("https://www.list-org.com/company/14391183","https://www.list-org.com/company/14391183")</f>
        <v>https://www.list-org.com/company/14391183</v>
      </c>
      <c r="B1042" s="3" t="s">
        <v>5007</v>
      </c>
      <c r="C1042" s="3" t="s">
        <v>5008</v>
      </c>
      <c r="D1042" s="3" t="s">
        <v>14</v>
      </c>
      <c r="E1042" s="3" t="s">
        <v>5009</v>
      </c>
      <c r="F1042" s="3" t="s">
        <v>5010</v>
      </c>
      <c r="G1042" s="3"/>
      <c r="H1042" s="3" t="s">
        <v>5011</v>
      </c>
      <c r="I1042" s="4"/>
      <c r="J1042" s="4"/>
      <c r="K1042" s="4"/>
      <c r="L1042" s="4"/>
    </row>
    <row r="1043" spans="1:12" x14ac:dyDescent="0.25">
      <c r="A1043" s="2" t="str">
        <f>HYPERLINK("https://www.list-org.com/company/14392301","https://www.list-org.com/company/14392301")</f>
        <v>https://www.list-org.com/company/14392301</v>
      </c>
      <c r="B1043" s="3" t="s">
        <v>5012</v>
      </c>
      <c r="C1043" s="3" t="s">
        <v>5013</v>
      </c>
      <c r="D1043" s="3" t="s">
        <v>14</v>
      </c>
      <c r="E1043" s="3" t="s">
        <v>5014</v>
      </c>
      <c r="F1043" s="3" t="s">
        <v>5015</v>
      </c>
      <c r="G1043" s="3"/>
      <c r="H1043" s="3" t="s">
        <v>5016</v>
      </c>
      <c r="I1043" s="4"/>
      <c r="J1043" s="4"/>
      <c r="K1043" s="4"/>
      <c r="L1043" s="4"/>
    </row>
    <row r="1044" spans="1:12" x14ac:dyDescent="0.25">
      <c r="A1044" s="2" t="str">
        <f>HYPERLINK("https://www.list-org.com/company/14392377","https://www.list-org.com/company/14392377")</f>
        <v>https://www.list-org.com/company/14392377</v>
      </c>
      <c r="B1044" s="3" t="s">
        <v>5017</v>
      </c>
      <c r="C1044" s="3" t="s">
        <v>5018</v>
      </c>
      <c r="D1044" s="3" t="s">
        <v>14</v>
      </c>
      <c r="E1044" s="3" t="s">
        <v>5019</v>
      </c>
      <c r="F1044" s="3" t="s">
        <v>5020</v>
      </c>
      <c r="G1044" s="3"/>
      <c r="H1044" s="3" t="s">
        <v>5021</v>
      </c>
      <c r="I1044" s="4"/>
      <c r="J1044" s="4"/>
      <c r="K1044" s="4"/>
      <c r="L1044" s="4"/>
    </row>
    <row r="1045" spans="1:12" x14ac:dyDescent="0.25">
      <c r="A1045" s="2" t="str">
        <f>HYPERLINK("https://www.list-org.com/company/14392411","https://www.list-org.com/company/14392411")</f>
        <v>https://www.list-org.com/company/14392411</v>
      </c>
      <c r="B1045" s="3" t="s">
        <v>5022</v>
      </c>
      <c r="C1045" s="3" t="s">
        <v>5022</v>
      </c>
      <c r="D1045" s="3" t="s">
        <v>14</v>
      </c>
      <c r="E1045" s="3" t="s">
        <v>5023</v>
      </c>
      <c r="F1045" s="3" t="s">
        <v>5024</v>
      </c>
      <c r="G1045" s="3"/>
      <c r="H1045" s="3" t="s">
        <v>5025</v>
      </c>
      <c r="I1045" s="4"/>
      <c r="J1045" s="4"/>
      <c r="K1045" s="4"/>
      <c r="L1045" s="4"/>
    </row>
    <row r="1046" spans="1:12" x14ac:dyDescent="0.25">
      <c r="A1046" s="2" t="str">
        <f>HYPERLINK("https://www.list-org.com/company/14471601","https://www.list-org.com/company/14471601")</f>
        <v>https://www.list-org.com/company/14471601</v>
      </c>
      <c r="B1046" s="3" t="s">
        <v>5026</v>
      </c>
      <c r="C1046" s="3" t="s">
        <v>5027</v>
      </c>
      <c r="D1046" s="3" t="s">
        <v>14</v>
      </c>
      <c r="E1046" s="3" t="s">
        <v>5028</v>
      </c>
      <c r="F1046" s="3" t="s">
        <v>5029</v>
      </c>
      <c r="G1046" s="3"/>
      <c r="H1046" s="3" t="s">
        <v>5030</v>
      </c>
      <c r="I1046" s="4"/>
      <c r="J1046" s="4"/>
      <c r="K1046" s="4"/>
      <c r="L1046" s="4"/>
    </row>
    <row r="1047" spans="1:12" x14ac:dyDescent="0.25">
      <c r="A1047" s="2" t="str">
        <f>HYPERLINK("https://www.list-org.com/company/14472719","https://www.list-org.com/company/14472719")</f>
        <v>https://www.list-org.com/company/14472719</v>
      </c>
      <c r="B1047" s="3" t="s">
        <v>5031</v>
      </c>
      <c r="C1047" s="3" t="s">
        <v>5031</v>
      </c>
      <c r="D1047" s="3" t="s">
        <v>14</v>
      </c>
      <c r="E1047" s="3" t="s">
        <v>5032</v>
      </c>
      <c r="F1047" s="3" t="s">
        <v>5033</v>
      </c>
      <c r="G1047" s="3"/>
      <c r="H1047" s="3" t="s">
        <v>5034</v>
      </c>
      <c r="I1047" s="4"/>
      <c r="J1047" s="4"/>
      <c r="K1047" s="4"/>
      <c r="L1047" s="4"/>
    </row>
    <row r="1048" spans="1:12" x14ac:dyDescent="0.25">
      <c r="A1048" s="2" t="str">
        <f>HYPERLINK("https://www.list-org.com/company/14472721","https://www.list-org.com/company/14472721")</f>
        <v>https://www.list-org.com/company/14472721</v>
      </c>
      <c r="B1048" s="3" t="s">
        <v>5035</v>
      </c>
      <c r="C1048" s="3" t="s">
        <v>5035</v>
      </c>
      <c r="D1048" s="3" t="s">
        <v>14</v>
      </c>
      <c r="E1048" s="3" t="s">
        <v>5036</v>
      </c>
      <c r="F1048" s="3" t="s">
        <v>5037</v>
      </c>
      <c r="G1048" s="3"/>
      <c r="H1048" s="3" t="s">
        <v>5038</v>
      </c>
      <c r="I1048" s="4"/>
      <c r="J1048" s="4"/>
      <c r="K1048" s="4"/>
      <c r="L1048" s="4"/>
    </row>
    <row r="1049" spans="1:12" x14ac:dyDescent="0.25">
      <c r="A1049" s="2" t="str">
        <f>HYPERLINK("https://www.list-org.com/company/14472722","https://www.list-org.com/company/14472722")</f>
        <v>https://www.list-org.com/company/14472722</v>
      </c>
      <c r="B1049" s="3" t="s">
        <v>5039</v>
      </c>
      <c r="C1049" s="3" t="s">
        <v>5039</v>
      </c>
      <c r="D1049" s="3" t="s">
        <v>14</v>
      </c>
      <c r="E1049" s="3" t="s">
        <v>5040</v>
      </c>
      <c r="F1049" s="3" t="s">
        <v>5041</v>
      </c>
      <c r="G1049" s="3"/>
      <c r="H1049" s="3" t="s">
        <v>5042</v>
      </c>
      <c r="I1049" s="4"/>
      <c r="J1049" s="4"/>
      <c r="K1049" s="4"/>
      <c r="L1049" s="4"/>
    </row>
    <row r="1050" spans="1:12" x14ac:dyDescent="0.25">
      <c r="A1050" s="2" t="str">
        <f>HYPERLINK("https://www.list-org.com/company/14472731","https://www.list-org.com/company/14472731")</f>
        <v>https://www.list-org.com/company/14472731</v>
      </c>
      <c r="B1050" s="3" t="s">
        <v>5043</v>
      </c>
      <c r="C1050" s="3" t="s">
        <v>5043</v>
      </c>
      <c r="D1050" s="3" t="s">
        <v>14</v>
      </c>
      <c r="E1050" s="3" t="s">
        <v>5044</v>
      </c>
      <c r="F1050" s="3" t="s">
        <v>5045</v>
      </c>
      <c r="G1050" s="3"/>
      <c r="H1050" s="3" t="s">
        <v>5046</v>
      </c>
      <c r="I1050" s="4"/>
      <c r="J1050" s="4"/>
      <c r="K1050" s="4"/>
      <c r="L1050" s="4"/>
    </row>
    <row r="1051" spans="1:12" x14ac:dyDescent="0.25">
      <c r="A1051" s="2" t="str">
        <f>HYPERLINK("https://www.list-org.com/company/14472735","https://www.list-org.com/company/14472735")</f>
        <v>https://www.list-org.com/company/14472735</v>
      </c>
      <c r="B1051" s="3" t="s">
        <v>5047</v>
      </c>
      <c r="C1051" s="3" t="s">
        <v>5047</v>
      </c>
      <c r="D1051" s="3" t="s">
        <v>14</v>
      </c>
      <c r="E1051" s="3" t="s">
        <v>5048</v>
      </c>
      <c r="F1051" s="3" t="s">
        <v>5049</v>
      </c>
      <c r="G1051" s="3"/>
      <c r="H1051" s="3" t="s">
        <v>5050</v>
      </c>
      <c r="I1051" s="4"/>
      <c r="J1051" s="4"/>
      <c r="K1051" s="4"/>
      <c r="L1051" s="4"/>
    </row>
    <row r="1052" spans="1:12" x14ac:dyDescent="0.25">
      <c r="A1052" s="2" t="str">
        <f>HYPERLINK("https://www.list-org.com/company/14472737","https://www.list-org.com/company/14472737")</f>
        <v>https://www.list-org.com/company/14472737</v>
      </c>
      <c r="B1052" s="3" t="s">
        <v>5051</v>
      </c>
      <c r="C1052" s="3" t="s">
        <v>5051</v>
      </c>
      <c r="D1052" s="3" t="s">
        <v>14</v>
      </c>
      <c r="E1052" s="3" t="s">
        <v>5052</v>
      </c>
      <c r="F1052" s="3" t="s">
        <v>5053</v>
      </c>
      <c r="G1052" s="3"/>
      <c r="H1052" s="3" t="s">
        <v>5054</v>
      </c>
      <c r="I1052" s="4"/>
      <c r="J1052" s="4"/>
      <c r="K1052" s="4"/>
      <c r="L1052" s="4"/>
    </row>
    <row r="1053" spans="1:12" x14ac:dyDescent="0.25">
      <c r="A1053" s="2" t="str">
        <f>HYPERLINK("https://www.list-org.com/company/14472738","https://www.list-org.com/company/14472738")</f>
        <v>https://www.list-org.com/company/14472738</v>
      </c>
      <c r="B1053" s="3" t="s">
        <v>5055</v>
      </c>
      <c r="C1053" s="3" t="s">
        <v>5055</v>
      </c>
      <c r="D1053" s="3" t="s">
        <v>14</v>
      </c>
      <c r="E1053" s="3" t="s">
        <v>5056</v>
      </c>
      <c r="F1053" s="3" t="s">
        <v>5057</v>
      </c>
      <c r="G1053" s="3"/>
      <c r="H1053" s="3" t="s">
        <v>5058</v>
      </c>
      <c r="I1053" s="4"/>
      <c r="J1053" s="4"/>
      <c r="K1053" s="4"/>
      <c r="L1053" s="4"/>
    </row>
    <row r="1054" spans="1:12" x14ac:dyDescent="0.25">
      <c r="A1054" s="2" t="str">
        <f>HYPERLINK("https://www.list-org.com/company/14472739","https://www.list-org.com/company/14472739")</f>
        <v>https://www.list-org.com/company/14472739</v>
      </c>
      <c r="B1054" s="3" t="s">
        <v>5059</v>
      </c>
      <c r="C1054" s="3" t="s">
        <v>5059</v>
      </c>
      <c r="D1054" s="3" t="s">
        <v>14</v>
      </c>
      <c r="E1054" s="3" t="s">
        <v>5060</v>
      </c>
      <c r="F1054" s="3" t="s">
        <v>5061</v>
      </c>
      <c r="G1054" s="3"/>
      <c r="H1054" s="3" t="s">
        <v>5062</v>
      </c>
      <c r="I1054" s="4"/>
      <c r="J1054" s="4"/>
      <c r="K1054" s="4"/>
      <c r="L1054" s="4"/>
    </row>
    <row r="1055" spans="1:12" x14ac:dyDescent="0.25">
      <c r="A1055" s="2" t="str">
        <f>HYPERLINK("https://www.list-org.com/company/14472741","https://www.list-org.com/company/14472741")</f>
        <v>https://www.list-org.com/company/14472741</v>
      </c>
      <c r="B1055" s="3" t="s">
        <v>5063</v>
      </c>
      <c r="C1055" s="3" t="s">
        <v>5063</v>
      </c>
      <c r="D1055" s="3" t="s">
        <v>14</v>
      </c>
      <c r="E1055" s="3" t="s">
        <v>5064</v>
      </c>
      <c r="F1055" s="3" t="s">
        <v>5065</v>
      </c>
      <c r="G1055" s="3"/>
      <c r="H1055" s="3" t="s">
        <v>5066</v>
      </c>
      <c r="I1055" s="4"/>
      <c r="J1055" s="4"/>
      <c r="K1055" s="4"/>
      <c r="L1055" s="4"/>
    </row>
    <row r="1056" spans="1:12" x14ac:dyDescent="0.25">
      <c r="A1056" s="2" t="str">
        <f>HYPERLINK("https://www.list-org.com/company/14472744","https://www.list-org.com/company/14472744")</f>
        <v>https://www.list-org.com/company/14472744</v>
      </c>
      <c r="B1056" s="3" t="s">
        <v>5067</v>
      </c>
      <c r="C1056" s="3" t="s">
        <v>5067</v>
      </c>
      <c r="D1056" s="3" t="s">
        <v>14</v>
      </c>
      <c r="E1056" s="3" t="s">
        <v>5068</v>
      </c>
      <c r="F1056" s="3" t="s">
        <v>5069</v>
      </c>
      <c r="G1056" s="3"/>
      <c r="H1056" s="3" t="s">
        <v>5070</v>
      </c>
      <c r="I1056" s="4"/>
      <c r="J1056" s="4"/>
      <c r="K1056" s="4"/>
      <c r="L1056" s="4"/>
    </row>
    <row r="1057" spans="1:12" x14ac:dyDescent="0.25">
      <c r="A1057" s="2" t="str">
        <f>HYPERLINK("https://www.list-org.com/company/14472745","https://www.list-org.com/company/14472745")</f>
        <v>https://www.list-org.com/company/14472745</v>
      </c>
      <c r="B1057" s="3" t="s">
        <v>5071</v>
      </c>
      <c r="C1057" s="3" t="s">
        <v>5071</v>
      </c>
      <c r="D1057" s="3" t="s">
        <v>14</v>
      </c>
      <c r="E1057" s="3" t="s">
        <v>5072</v>
      </c>
      <c r="F1057" s="3" t="s">
        <v>5073</v>
      </c>
      <c r="G1057" s="3"/>
      <c r="H1057" s="3" t="s">
        <v>5074</v>
      </c>
      <c r="I1057" s="4"/>
      <c r="J1057" s="4"/>
      <c r="K1057" s="4"/>
      <c r="L1057" s="4"/>
    </row>
    <row r="1058" spans="1:12" x14ac:dyDescent="0.25">
      <c r="A1058" s="2" t="str">
        <f>HYPERLINK("https://www.list-org.com/company/14472760","https://www.list-org.com/company/14472760")</f>
        <v>https://www.list-org.com/company/14472760</v>
      </c>
      <c r="B1058" s="3" t="s">
        <v>5075</v>
      </c>
      <c r="C1058" s="3" t="s">
        <v>5075</v>
      </c>
      <c r="D1058" s="3" t="s">
        <v>14</v>
      </c>
      <c r="E1058" s="3" t="s">
        <v>5076</v>
      </c>
      <c r="F1058" s="3" t="s">
        <v>5077</v>
      </c>
      <c r="G1058" s="3"/>
      <c r="H1058" s="3" t="s">
        <v>2631</v>
      </c>
      <c r="I1058" s="4"/>
      <c r="J1058" s="4"/>
      <c r="K1058" s="4"/>
      <c r="L1058" s="4"/>
    </row>
    <row r="1059" spans="1:12" x14ac:dyDescent="0.25">
      <c r="A1059" s="2" t="str">
        <f>HYPERLINK("https://www.list-org.com/company/14472762","https://www.list-org.com/company/14472762")</f>
        <v>https://www.list-org.com/company/14472762</v>
      </c>
      <c r="B1059" s="3" t="s">
        <v>5078</v>
      </c>
      <c r="C1059" s="3" t="s">
        <v>5078</v>
      </c>
      <c r="D1059" s="3" t="s">
        <v>14</v>
      </c>
      <c r="E1059" s="3" t="s">
        <v>5079</v>
      </c>
      <c r="F1059" s="3" t="s">
        <v>5080</v>
      </c>
      <c r="G1059" s="3"/>
      <c r="H1059" s="3" t="s">
        <v>5081</v>
      </c>
      <c r="I1059" s="4"/>
      <c r="J1059" s="4"/>
      <c r="K1059" s="4"/>
      <c r="L1059" s="4"/>
    </row>
    <row r="1060" spans="1:12" x14ac:dyDescent="0.25">
      <c r="A1060" s="2" t="str">
        <f>HYPERLINK("https://www.list-org.com/company/14472771","https://www.list-org.com/company/14472771")</f>
        <v>https://www.list-org.com/company/14472771</v>
      </c>
      <c r="B1060" s="3" t="s">
        <v>5082</v>
      </c>
      <c r="C1060" s="3" t="s">
        <v>5082</v>
      </c>
      <c r="D1060" s="3" t="s">
        <v>14</v>
      </c>
      <c r="E1060" s="3" t="s">
        <v>5083</v>
      </c>
      <c r="F1060" s="3" t="s">
        <v>5084</v>
      </c>
      <c r="G1060" s="3"/>
      <c r="H1060" s="3" t="s">
        <v>5085</v>
      </c>
      <c r="I1060" s="4"/>
      <c r="J1060" s="4"/>
      <c r="K1060" s="4"/>
      <c r="L1060" s="4"/>
    </row>
    <row r="1061" spans="1:12" x14ac:dyDescent="0.25">
      <c r="A1061" s="2" t="str">
        <f>HYPERLINK("https://www.list-org.com/company/14472772","https://www.list-org.com/company/14472772")</f>
        <v>https://www.list-org.com/company/14472772</v>
      </c>
      <c r="B1061" s="3" t="s">
        <v>5086</v>
      </c>
      <c r="C1061" s="3" t="s">
        <v>5086</v>
      </c>
      <c r="D1061" s="3" t="s">
        <v>14</v>
      </c>
      <c r="E1061" s="3" t="s">
        <v>5087</v>
      </c>
      <c r="F1061" s="3" t="s">
        <v>5088</v>
      </c>
      <c r="G1061" s="3"/>
      <c r="H1061" s="3" t="s">
        <v>4285</v>
      </c>
      <c r="I1061" s="4"/>
      <c r="J1061" s="4"/>
      <c r="K1061" s="4"/>
      <c r="L1061" s="4"/>
    </row>
    <row r="1062" spans="1:12" x14ac:dyDescent="0.25">
      <c r="A1062" s="2" t="str">
        <f>HYPERLINK("https://www.list-org.com/company/14472773","https://www.list-org.com/company/14472773")</f>
        <v>https://www.list-org.com/company/14472773</v>
      </c>
      <c r="B1062" s="3" t="s">
        <v>5089</v>
      </c>
      <c r="C1062" s="3" t="s">
        <v>5089</v>
      </c>
      <c r="D1062" s="3" t="s">
        <v>14</v>
      </c>
      <c r="E1062" s="3" t="s">
        <v>5090</v>
      </c>
      <c r="F1062" s="3" t="s">
        <v>5091</v>
      </c>
      <c r="G1062" s="3"/>
      <c r="H1062" s="3" t="s">
        <v>5092</v>
      </c>
      <c r="I1062" s="4"/>
      <c r="J1062" s="4"/>
      <c r="K1062" s="4"/>
      <c r="L1062" s="4"/>
    </row>
    <row r="1063" spans="1:12" x14ac:dyDescent="0.25">
      <c r="A1063" s="2" t="str">
        <f>HYPERLINK("https://www.list-org.com/company/14472774","https://www.list-org.com/company/14472774")</f>
        <v>https://www.list-org.com/company/14472774</v>
      </c>
      <c r="B1063" s="3" t="s">
        <v>5093</v>
      </c>
      <c r="C1063" s="3" t="s">
        <v>5093</v>
      </c>
      <c r="D1063" s="3" t="s">
        <v>14</v>
      </c>
      <c r="E1063" s="3" t="s">
        <v>5094</v>
      </c>
      <c r="F1063" s="3" t="s">
        <v>5095</v>
      </c>
      <c r="G1063" s="3"/>
      <c r="H1063" s="3" t="s">
        <v>5096</v>
      </c>
      <c r="I1063" s="4"/>
      <c r="J1063" s="4"/>
      <c r="K1063" s="4"/>
      <c r="L1063" s="4"/>
    </row>
    <row r="1064" spans="1:12" x14ac:dyDescent="0.25">
      <c r="A1064" s="2" t="str">
        <f>HYPERLINK("https://www.list-org.com/company/14473758","https://www.list-org.com/company/14473758")</f>
        <v>https://www.list-org.com/company/14473758</v>
      </c>
      <c r="B1064" s="3" t="s">
        <v>5097</v>
      </c>
      <c r="C1064" s="3" t="s">
        <v>5098</v>
      </c>
      <c r="D1064" s="3" t="s">
        <v>14</v>
      </c>
      <c r="E1064" s="3" t="s">
        <v>5099</v>
      </c>
      <c r="F1064" s="3" t="s">
        <v>5100</v>
      </c>
      <c r="G1064" s="3"/>
      <c r="H1064" s="3" t="s">
        <v>5101</v>
      </c>
      <c r="I1064" s="4"/>
      <c r="J1064" s="4"/>
      <c r="K1064" s="4"/>
      <c r="L1064" s="4"/>
    </row>
    <row r="1065" spans="1:12" x14ac:dyDescent="0.25">
      <c r="A1065" s="2" t="str">
        <f>HYPERLINK("https://www.list-org.com/company/14474295","https://www.list-org.com/company/14474295")</f>
        <v>https://www.list-org.com/company/14474295</v>
      </c>
      <c r="B1065" s="3" t="s">
        <v>5102</v>
      </c>
      <c r="C1065" s="3" t="s">
        <v>5103</v>
      </c>
      <c r="D1065" s="3" t="s">
        <v>14</v>
      </c>
      <c r="E1065" s="3" t="s">
        <v>5104</v>
      </c>
      <c r="F1065" s="3" t="s">
        <v>5105</v>
      </c>
      <c r="G1065" s="3"/>
      <c r="H1065" s="3" t="s">
        <v>5106</v>
      </c>
      <c r="I1065" s="4"/>
      <c r="J1065" s="4"/>
      <c r="K1065" s="4"/>
      <c r="L1065" s="4"/>
    </row>
    <row r="1066" spans="1:12" x14ac:dyDescent="0.25">
      <c r="A1066" s="2" t="str">
        <f>HYPERLINK("https://www.list-org.com/company/14474327","https://www.list-org.com/company/14474327")</f>
        <v>https://www.list-org.com/company/14474327</v>
      </c>
      <c r="B1066" s="3" t="s">
        <v>5107</v>
      </c>
      <c r="C1066" s="3" t="s">
        <v>5108</v>
      </c>
      <c r="D1066" s="3" t="s">
        <v>14</v>
      </c>
      <c r="E1066" s="3" t="s">
        <v>5109</v>
      </c>
      <c r="F1066" s="3" t="s">
        <v>5110</v>
      </c>
      <c r="G1066" s="3"/>
      <c r="H1066" s="3" t="s">
        <v>5111</v>
      </c>
      <c r="I1066" s="4"/>
      <c r="J1066" s="4"/>
      <c r="K1066" s="4"/>
      <c r="L1066" s="4"/>
    </row>
    <row r="1067" spans="1:12" x14ac:dyDescent="0.25">
      <c r="A1067" s="2" t="str">
        <f>HYPERLINK("https://www.list-org.com/company/14474867","https://www.list-org.com/company/14474867")</f>
        <v>https://www.list-org.com/company/14474867</v>
      </c>
      <c r="B1067" s="3" t="s">
        <v>5112</v>
      </c>
      <c r="C1067" s="3" t="s">
        <v>5113</v>
      </c>
      <c r="D1067" s="3" t="s">
        <v>14</v>
      </c>
      <c r="E1067" s="3" t="s">
        <v>5114</v>
      </c>
      <c r="F1067" s="3" t="s">
        <v>5115</v>
      </c>
      <c r="G1067" s="3"/>
      <c r="H1067" s="3" t="s">
        <v>5116</v>
      </c>
      <c r="I1067" s="4"/>
      <c r="J1067" s="4"/>
      <c r="K1067" s="4"/>
      <c r="L1067" s="4"/>
    </row>
    <row r="1068" spans="1:12" x14ac:dyDescent="0.25">
      <c r="A1068" s="2" t="str">
        <f>HYPERLINK("https://www.list-org.com/company/14476231","https://www.list-org.com/company/14476231")</f>
        <v>https://www.list-org.com/company/14476231</v>
      </c>
      <c r="B1068" s="3" t="s">
        <v>5117</v>
      </c>
      <c r="C1068" s="3" t="s">
        <v>5118</v>
      </c>
      <c r="D1068" s="3" t="s">
        <v>14</v>
      </c>
      <c r="E1068" s="3" t="s">
        <v>5119</v>
      </c>
      <c r="F1068" s="3" t="s">
        <v>5120</v>
      </c>
      <c r="G1068" s="3"/>
      <c r="H1068" s="3" t="s">
        <v>5121</v>
      </c>
      <c r="I1068" s="4"/>
      <c r="J1068" s="4"/>
      <c r="K1068" s="4"/>
      <c r="L1068" s="4"/>
    </row>
    <row r="1069" spans="1:12" x14ac:dyDescent="0.25">
      <c r="A1069" s="2" t="str">
        <f>HYPERLINK("https://www.list-org.com/company/14477005","https://www.list-org.com/company/14477005")</f>
        <v>https://www.list-org.com/company/14477005</v>
      </c>
      <c r="B1069" s="3" t="s">
        <v>5122</v>
      </c>
      <c r="C1069" s="3" t="s">
        <v>5123</v>
      </c>
      <c r="D1069" s="3" t="s">
        <v>14</v>
      </c>
      <c r="E1069" s="3" t="s">
        <v>5124</v>
      </c>
      <c r="F1069" s="3" t="s">
        <v>5125</v>
      </c>
      <c r="G1069" s="3"/>
      <c r="H1069" s="3" t="s">
        <v>56</v>
      </c>
      <c r="I1069" s="4"/>
      <c r="J1069" s="4"/>
      <c r="K1069" s="4">
        <v>-29</v>
      </c>
      <c r="L1069" s="4">
        <v>-19</v>
      </c>
    </row>
    <row r="1070" spans="1:12" x14ac:dyDescent="0.25">
      <c r="A1070" s="2" t="str">
        <f>HYPERLINK("https://www.list-org.com/company/14477209","https://www.list-org.com/company/14477209")</f>
        <v>https://www.list-org.com/company/14477209</v>
      </c>
      <c r="B1070" s="3" t="s">
        <v>5126</v>
      </c>
      <c r="C1070" s="3" t="s">
        <v>5127</v>
      </c>
      <c r="D1070" s="3" t="s">
        <v>14</v>
      </c>
      <c r="E1070" s="3" t="s">
        <v>5128</v>
      </c>
      <c r="F1070" s="3" t="s">
        <v>5129</v>
      </c>
      <c r="G1070" s="3"/>
      <c r="H1070" s="3" t="s">
        <v>5130</v>
      </c>
      <c r="I1070" s="4"/>
      <c r="J1070" s="4"/>
      <c r="K1070" s="4"/>
      <c r="L1070" s="4"/>
    </row>
    <row r="1071" spans="1:12" x14ac:dyDescent="0.25">
      <c r="A1071" s="2" t="str">
        <f>HYPERLINK("https://www.list-org.com/company/14477935","https://www.list-org.com/company/14477935")</f>
        <v>https://www.list-org.com/company/14477935</v>
      </c>
      <c r="B1071" s="3" t="s">
        <v>5131</v>
      </c>
      <c r="C1071" s="3" t="s">
        <v>5132</v>
      </c>
      <c r="D1071" s="3" t="s">
        <v>14</v>
      </c>
      <c r="E1071" s="3" t="s">
        <v>5133</v>
      </c>
      <c r="F1071" s="3" t="s">
        <v>5134</v>
      </c>
      <c r="G1071" s="3"/>
      <c r="H1071" s="3" t="s">
        <v>4758</v>
      </c>
      <c r="I1071" s="4"/>
      <c r="J1071" s="4"/>
      <c r="K1071" s="4"/>
      <c r="L1071" s="4"/>
    </row>
    <row r="1072" spans="1:12" x14ac:dyDescent="0.25">
      <c r="A1072" s="2" t="str">
        <f>HYPERLINK("https://www.list-org.com/company/14478425","https://www.list-org.com/company/14478425")</f>
        <v>https://www.list-org.com/company/14478425</v>
      </c>
      <c r="B1072" s="3" t="s">
        <v>5135</v>
      </c>
      <c r="C1072" s="3" t="s">
        <v>5136</v>
      </c>
      <c r="D1072" s="3" t="s">
        <v>14</v>
      </c>
      <c r="E1072" s="3" t="s">
        <v>5137</v>
      </c>
      <c r="F1072" s="3" t="s">
        <v>5138</v>
      </c>
      <c r="G1072" s="3"/>
      <c r="H1072" s="3" t="s">
        <v>5139</v>
      </c>
      <c r="I1072" s="4"/>
      <c r="J1072" s="4"/>
      <c r="K1072" s="4"/>
      <c r="L1072" s="4"/>
    </row>
    <row r="1073" spans="1:12" x14ac:dyDescent="0.25">
      <c r="A1073" s="2" t="str">
        <f>HYPERLINK("https://www.list-org.com/company/14478691","https://www.list-org.com/company/14478691")</f>
        <v>https://www.list-org.com/company/14478691</v>
      </c>
      <c r="B1073" s="3" t="s">
        <v>5140</v>
      </c>
      <c r="C1073" s="3" t="s">
        <v>5141</v>
      </c>
      <c r="D1073" s="3" t="s">
        <v>14</v>
      </c>
      <c r="E1073" s="3" t="s">
        <v>5142</v>
      </c>
      <c r="F1073" s="3" t="s">
        <v>5143</v>
      </c>
      <c r="G1073" s="3"/>
      <c r="H1073" s="3" t="s">
        <v>4005</v>
      </c>
      <c r="I1073" s="4"/>
      <c r="J1073" s="4"/>
      <c r="K1073" s="4"/>
      <c r="L1073" s="4"/>
    </row>
    <row r="1074" spans="1:12" x14ac:dyDescent="0.25">
      <c r="A1074" s="2" t="str">
        <f>HYPERLINK("https://www.list-org.com/company/14479270","https://www.list-org.com/company/14479270")</f>
        <v>https://www.list-org.com/company/14479270</v>
      </c>
      <c r="B1074" s="3" t="s">
        <v>5144</v>
      </c>
      <c r="C1074" s="3" t="s">
        <v>5145</v>
      </c>
      <c r="D1074" s="3" t="s">
        <v>14</v>
      </c>
      <c r="E1074" s="3" t="s">
        <v>5146</v>
      </c>
      <c r="F1074" s="3" t="s">
        <v>5147</v>
      </c>
      <c r="G1074" s="3"/>
      <c r="H1074" s="3" t="s">
        <v>5148</v>
      </c>
      <c r="I1074" s="4"/>
      <c r="J1074" s="4"/>
      <c r="K1074" s="4"/>
      <c r="L1074" s="4"/>
    </row>
    <row r="1075" spans="1:12" x14ac:dyDescent="0.25">
      <c r="A1075" s="2" t="str">
        <f>HYPERLINK("https://www.list-org.com/company/14479572","https://www.list-org.com/company/14479572")</f>
        <v>https://www.list-org.com/company/14479572</v>
      </c>
      <c r="B1075" s="3" t="s">
        <v>5149</v>
      </c>
      <c r="C1075" s="3" t="s">
        <v>5150</v>
      </c>
      <c r="D1075" s="3" t="s">
        <v>14</v>
      </c>
      <c r="E1075" s="3" t="s">
        <v>5151</v>
      </c>
      <c r="F1075" s="3" t="s">
        <v>5152</v>
      </c>
      <c r="G1075" s="3"/>
      <c r="H1075" s="3" t="s">
        <v>5153</v>
      </c>
      <c r="I1075" s="4"/>
      <c r="J1075" s="4"/>
      <c r="K1075" s="4"/>
      <c r="L1075" s="4"/>
    </row>
    <row r="1076" spans="1:12" x14ac:dyDescent="0.25">
      <c r="A1076" s="2" t="str">
        <f>HYPERLINK("https://www.list-org.com/company/14481633","https://www.list-org.com/company/14481633")</f>
        <v>https://www.list-org.com/company/14481633</v>
      </c>
      <c r="B1076" s="3" t="s">
        <v>5154</v>
      </c>
      <c r="C1076" s="3" t="s">
        <v>5155</v>
      </c>
      <c r="D1076" s="3" t="s">
        <v>14</v>
      </c>
      <c r="E1076" s="3" t="s">
        <v>5156</v>
      </c>
      <c r="F1076" s="3" t="s">
        <v>5157</v>
      </c>
      <c r="G1076" s="3"/>
      <c r="H1076" s="3" t="s">
        <v>5158</v>
      </c>
      <c r="I1076" s="4"/>
      <c r="J1076" s="4"/>
      <c r="K1076" s="4"/>
      <c r="L1076" s="4"/>
    </row>
    <row r="1077" spans="1:12" x14ac:dyDescent="0.25">
      <c r="A1077" s="2" t="str">
        <f>HYPERLINK("https://www.list-org.com/company/14482799","https://www.list-org.com/company/14482799")</f>
        <v>https://www.list-org.com/company/14482799</v>
      </c>
      <c r="B1077" s="3" t="s">
        <v>5159</v>
      </c>
      <c r="C1077" s="3" t="s">
        <v>5160</v>
      </c>
      <c r="D1077" s="3" t="s">
        <v>14</v>
      </c>
      <c r="E1077" s="3" t="s">
        <v>5161</v>
      </c>
      <c r="F1077" s="3" t="s">
        <v>5162</v>
      </c>
      <c r="G1077" s="3"/>
      <c r="H1077" s="3" t="s">
        <v>5163</v>
      </c>
      <c r="I1077" s="4"/>
      <c r="J1077" s="4"/>
      <c r="K1077" s="4"/>
      <c r="L1077" s="4"/>
    </row>
    <row r="1078" spans="1:12" x14ac:dyDescent="0.25">
      <c r="A1078" s="2" t="str">
        <f>HYPERLINK("https://www.list-org.com/company/14483339","https://www.list-org.com/company/14483339")</f>
        <v>https://www.list-org.com/company/14483339</v>
      </c>
      <c r="B1078" s="3" t="s">
        <v>5164</v>
      </c>
      <c r="C1078" s="3" t="s">
        <v>5165</v>
      </c>
      <c r="D1078" s="3" t="s">
        <v>14</v>
      </c>
      <c r="E1078" s="3" t="s">
        <v>5166</v>
      </c>
      <c r="F1078" s="3" t="s">
        <v>5167</v>
      </c>
      <c r="G1078" s="3"/>
      <c r="H1078" s="3" t="s">
        <v>5168</v>
      </c>
      <c r="I1078" s="4"/>
      <c r="J1078" s="4"/>
      <c r="K1078" s="4"/>
      <c r="L1078" s="4">
        <v>10</v>
      </c>
    </row>
    <row r="1079" spans="1:12" x14ac:dyDescent="0.25">
      <c r="A1079" s="2" t="str">
        <f>HYPERLINK("https://www.list-org.com/company/14483917","https://www.list-org.com/company/14483917")</f>
        <v>https://www.list-org.com/company/14483917</v>
      </c>
      <c r="B1079" s="3" t="s">
        <v>5169</v>
      </c>
      <c r="C1079" s="3" t="s">
        <v>5170</v>
      </c>
      <c r="D1079" s="3" t="s">
        <v>14</v>
      </c>
      <c r="E1079" s="3" t="s">
        <v>5171</v>
      </c>
      <c r="F1079" s="3" t="s">
        <v>5172</v>
      </c>
      <c r="G1079" s="3"/>
      <c r="H1079" s="3" t="s">
        <v>2040</v>
      </c>
      <c r="I1079" s="4"/>
      <c r="J1079" s="4"/>
      <c r="K1079" s="4"/>
      <c r="L1079" s="4"/>
    </row>
    <row r="1080" spans="1:12" x14ac:dyDescent="0.25">
      <c r="A1080" s="2" t="str">
        <f>HYPERLINK("https://www.list-org.com/company/14487223","https://www.list-org.com/company/14487223")</f>
        <v>https://www.list-org.com/company/14487223</v>
      </c>
      <c r="B1080" s="3" t="s">
        <v>5173</v>
      </c>
      <c r="C1080" s="3" t="s">
        <v>5174</v>
      </c>
      <c r="D1080" s="3" t="s">
        <v>14</v>
      </c>
      <c r="E1080" s="3" t="s">
        <v>5175</v>
      </c>
      <c r="F1080" s="3" t="s">
        <v>5176</v>
      </c>
      <c r="G1080" s="3"/>
      <c r="H1080" s="3" t="s">
        <v>4588</v>
      </c>
      <c r="I1080" s="4"/>
      <c r="J1080" s="4"/>
      <c r="K1080" s="4"/>
      <c r="L1080" s="4"/>
    </row>
    <row r="1081" spans="1:12" x14ac:dyDescent="0.25">
      <c r="A1081" s="2" t="str">
        <f>HYPERLINK("https://www.list-org.com/company/14488044","https://www.list-org.com/company/14488044")</f>
        <v>https://www.list-org.com/company/14488044</v>
      </c>
      <c r="B1081" s="3" t="s">
        <v>5177</v>
      </c>
      <c r="C1081" s="3" t="s">
        <v>5178</v>
      </c>
      <c r="D1081" s="3" t="s">
        <v>14</v>
      </c>
      <c r="E1081" s="3" t="s">
        <v>5179</v>
      </c>
      <c r="F1081" s="3" t="s">
        <v>5180</v>
      </c>
      <c r="G1081" s="3"/>
      <c r="H1081" s="3" t="s">
        <v>5181</v>
      </c>
      <c r="I1081" s="4"/>
      <c r="J1081" s="4"/>
      <c r="K1081" s="4"/>
      <c r="L1081" s="4"/>
    </row>
    <row r="1082" spans="1:12" x14ac:dyDescent="0.25">
      <c r="A1082" s="2" t="str">
        <f>HYPERLINK("https://www.list-org.com/company/14488761","https://www.list-org.com/company/14488761")</f>
        <v>https://www.list-org.com/company/14488761</v>
      </c>
      <c r="B1082" s="3" t="s">
        <v>5182</v>
      </c>
      <c r="C1082" s="3" t="s">
        <v>5183</v>
      </c>
      <c r="D1082" s="3" t="s">
        <v>14</v>
      </c>
      <c r="E1082" s="3" t="s">
        <v>5184</v>
      </c>
      <c r="F1082" s="3" t="s">
        <v>5185</v>
      </c>
      <c r="G1082" s="3"/>
      <c r="H1082" s="3" t="s">
        <v>933</v>
      </c>
      <c r="I1082" s="4"/>
      <c r="J1082" s="4"/>
      <c r="K1082" s="4"/>
      <c r="L1082" s="4"/>
    </row>
    <row r="1083" spans="1:12" x14ac:dyDescent="0.25">
      <c r="A1083" s="2" t="str">
        <f>HYPERLINK("https://www.list-org.com/company/14489531","https://www.list-org.com/company/14489531")</f>
        <v>https://www.list-org.com/company/14489531</v>
      </c>
      <c r="B1083" s="3" t="s">
        <v>5186</v>
      </c>
      <c r="C1083" s="3" t="s">
        <v>5187</v>
      </c>
      <c r="D1083" s="3" t="s">
        <v>14</v>
      </c>
      <c r="E1083" s="3" t="s">
        <v>5188</v>
      </c>
      <c r="F1083" s="3" t="s">
        <v>5189</v>
      </c>
      <c r="G1083" s="3"/>
      <c r="H1083" s="3" t="s">
        <v>5190</v>
      </c>
      <c r="I1083" s="4"/>
      <c r="J1083" s="4"/>
      <c r="K1083" s="4"/>
      <c r="L1083" s="4"/>
    </row>
    <row r="1084" spans="1:12" x14ac:dyDescent="0.25">
      <c r="A1084" s="2" t="str">
        <f>HYPERLINK("https://www.list-org.com/company/14489855","https://www.list-org.com/company/14489855")</f>
        <v>https://www.list-org.com/company/14489855</v>
      </c>
      <c r="B1084" s="3" t="s">
        <v>5191</v>
      </c>
      <c r="C1084" s="3" t="s">
        <v>5192</v>
      </c>
      <c r="D1084" s="3" t="s">
        <v>14</v>
      </c>
      <c r="E1084" s="3" t="s">
        <v>5193</v>
      </c>
      <c r="F1084" s="3" t="s">
        <v>5194</v>
      </c>
      <c r="G1084" s="3"/>
      <c r="H1084" s="3" t="s">
        <v>5195</v>
      </c>
      <c r="I1084" s="4"/>
      <c r="J1084" s="4"/>
      <c r="K1084" s="4"/>
      <c r="L1084" s="4"/>
    </row>
    <row r="1085" spans="1:12" x14ac:dyDescent="0.25">
      <c r="A1085" s="2" t="str">
        <f>HYPERLINK("https://www.list-org.com/company/14490736","https://www.list-org.com/company/14490736")</f>
        <v>https://www.list-org.com/company/14490736</v>
      </c>
      <c r="B1085" s="3" t="s">
        <v>5196</v>
      </c>
      <c r="C1085" s="3" t="s">
        <v>5197</v>
      </c>
      <c r="D1085" s="3" t="s">
        <v>14</v>
      </c>
      <c r="E1085" s="3" t="s">
        <v>5198</v>
      </c>
      <c r="F1085" s="3" t="s">
        <v>5199</v>
      </c>
      <c r="G1085" s="3"/>
      <c r="H1085" s="3" t="s">
        <v>1687</v>
      </c>
      <c r="I1085" s="4"/>
      <c r="J1085" s="4"/>
      <c r="K1085" s="4"/>
      <c r="L1085" s="4"/>
    </row>
    <row r="1086" spans="1:12" x14ac:dyDescent="0.25">
      <c r="A1086" s="2" t="str">
        <f>HYPERLINK("https://www.list-org.com/company/14491324","https://www.list-org.com/company/14491324")</f>
        <v>https://www.list-org.com/company/14491324</v>
      </c>
      <c r="B1086" s="3" t="s">
        <v>5200</v>
      </c>
      <c r="C1086" s="3" t="s">
        <v>5201</v>
      </c>
      <c r="D1086" s="3" t="s">
        <v>14</v>
      </c>
      <c r="E1086" s="3" t="s">
        <v>5202</v>
      </c>
      <c r="F1086" s="3" t="s">
        <v>5203</v>
      </c>
      <c r="G1086" s="3"/>
      <c r="H1086" s="3" t="s">
        <v>4758</v>
      </c>
      <c r="I1086" s="4"/>
      <c r="J1086" s="4"/>
      <c r="K1086" s="4"/>
      <c r="L1086" s="4"/>
    </row>
    <row r="1087" spans="1:12" x14ac:dyDescent="0.25">
      <c r="A1087" s="2" t="str">
        <f>HYPERLINK("https://www.list-org.com/company/14492566","https://www.list-org.com/company/14492566")</f>
        <v>https://www.list-org.com/company/14492566</v>
      </c>
      <c r="B1087" s="3" t="s">
        <v>5204</v>
      </c>
      <c r="C1087" s="3" t="s">
        <v>5205</v>
      </c>
      <c r="D1087" s="3" t="s">
        <v>14</v>
      </c>
      <c r="E1087" s="3" t="s">
        <v>5206</v>
      </c>
      <c r="F1087" s="3" t="s">
        <v>5207</v>
      </c>
      <c r="G1087" s="3"/>
      <c r="H1087" s="3" t="s">
        <v>2157</v>
      </c>
      <c r="I1087" s="4"/>
      <c r="J1087" s="4">
        <v>7057</v>
      </c>
      <c r="K1087" s="4">
        <v>946</v>
      </c>
      <c r="L1087" s="4">
        <v>946</v>
      </c>
    </row>
    <row r="1088" spans="1:12" x14ac:dyDescent="0.25">
      <c r="A1088" s="2" t="str">
        <f>HYPERLINK("https://www.list-org.com/company/14493071","https://www.list-org.com/company/14493071")</f>
        <v>https://www.list-org.com/company/14493071</v>
      </c>
      <c r="B1088" s="3" t="s">
        <v>5208</v>
      </c>
      <c r="C1088" s="3" t="s">
        <v>5209</v>
      </c>
      <c r="D1088" s="3" t="s">
        <v>14</v>
      </c>
      <c r="E1088" s="3" t="s">
        <v>5210</v>
      </c>
      <c r="F1088" s="3" t="s">
        <v>5211</v>
      </c>
      <c r="G1088" s="3"/>
      <c r="H1088" s="3" t="s">
        <v>5212</v>
      </c>
      <c r="I1088" s="4"/>
      <c r="J1088" s="4"/>
      <c r="K1088" s="4"/>
      <c r="L1088" s="4"/>
    </row>
    <row r="1089" spans="1:12" x14ac:dyDescent="0.25">
      <c r="A1089" s="2" t="str">
        <f>HYPERLINK("https://www.list-org.com/company/14494018","https://www.list-org.com/company/14494018")</f>
        <v>https://www.list-org.com/company/14494018</v>
      </c>
      <c r="B1089" s="3" t="s">
        <v>5213</v>
      </c>
      <c r="C1089" s="3" t="s">
        <v>5214</v>
      </c>
      <c r="D1089" s="3" t="s">
        <v>14</v>
      </c>
      <c r="E1089" s="3" t="s">
        <v>5215</v>
      </c>
      <c r="F1089" s="3" t="s">
        <v>5216</v>
      </c>
      <c r="G1089" s="3"/>
      <c r="H1089" s="3" t="s">
        <v>5217</v>
      </c>
      <c r="I1089" s="4"/>
      <c r="J1089" s="4"/>
      <c r="K1089" s="4"/>
      <c r="L1089" s="4"/>
    </row>
    <row r="1090" spans="1:12" x14ac:dyDescent="0.25">
      <c r="A1090" s="2" t="str">
        <f>HYPERLINK("https://www.list-org.com/company/14494063","https://www.list-org.com/company/14494063")</f>
        <v>https://www.list-org.com/company/14494063</v>
      </c>
      <c r="B1090" s="3" t="s">
        <v>5218</v>
      </c>
      <c r="C1090" s="3" t="s">
        <v>5219</v>
      </c>
      <c r="D1090" s="3" t="s">
        <v>14</v>
      </c>
      <c r="E1090" s="3" t="s">
        <v>5220</v>
      </c>
      <c r="F1090" s="3" t="s">
        <v>5221</v>
      </c>
      <c r="G1090" s="3"/>
      <c r="H1090" s="3" t="s">
        <v>5222</v>
      </c>
      <c r="I1090" s="4"/>
      <c r="J1090" s="4"/>
      <c r="K1090" s="4"/>
      <c r="L1090" s="4"/>
    </row>
    <row r="1091" spans="1:12" x14ac:dyDescent="0.25">
      <c r="A1091" s="2" t="str">
        <f>HYPERLINK("https://www.list-org.com/company/14494366","https://www.list-org.com/company/14494366")</f>
        <v>https://www.list-org.com/company/14494366</v>
      </c>
      <c r="B1091" s="3" t="s">
        <v>5223</v>
      </c>
      <c r="C1091" s="3" t="s">
        <v>5224</v>
      </c>
      <c r="D1091" s="3" t="s">
        <v>14</v>
      </c>
      <c r="E1091" s="3" t="s">
        <v>5225</v>
      </c>
      <c r="F1091" s="3" t="s">
        <v>5226</v>
      </c>
      <c r="G1091" s="3"/>
      <c r="H1091" s="3" t="s">
        <v>5181</v>
      </c>
      <c r="I1091" s="4"/>
      <c r="J1091" s="4"/>
      <c r="K1091" s="4"/>
      <c r="L1091" s="4"/>
    </row>
    <row r="1092" spans="1:12" x14ac:dyDescent="0.25">
      <c r="A1092" s="2" t="str">
        <f>HYPERLINK("https://www.list-org.com/company/14495168","https://www.list-org.com/company/14495168")</f>
        <v>https://www.list-org.com/company/14495168</v>
      </c>
      <c r="B1092" s="3" t="s">
        <v>5227</v>
      </c>
      <c r="C1092" s="3" t="s">
        <v>5228</v>
      </c>
      <c r="D1092" s="3" t="s">
        <v>14</v>
      </c>
      <c r="E1092" s="3" t="s">
        <v>5229</v>
      </c>
      <c r="F1092" s="3" t="s">
        <v>5230</v>
      </c>
      <c r="G1092" s="3"/>
      <c r="H1092" s="3" t="s">
        <v>1496</v>
      </c>
      <c r="I1092" s="4"/>
      <c r="J1092" s="4"/>
      <c r="K1092" s="4"/>
      <c r="L1092" s="4"/>
    </row>
    <row r="1093" spans="1:12" x14ac:dyDescent="0.25">
      <c r="A1093" s="2" t="str">
        <f>HYPERLINK("https://www.list-org.com/company/14495330","https://www.list-org.com/company/14495330")</f>
        <v>https://www.list-org.com/company/14495330</v>
      </c>
      <c r="B1093" s="3" t="s">
        <v>5231</v>
      </c>
      <c r="C1093" s="3" t="s">
        <v>5232</v>
      </c>
      <c r="D1093" s="3" t="s">
        <v>14</v>
      </c>
      <c r="E1093" s="3" t="s">
        <v>5233</v>
      </c>
      <c r="F1093" s="3" t="s">
        <v>5234</v>
      </c>
      <c r="G1093" s="3"/>
      <c r="H1093" s="3" t="s">
        <v>5235</v>
      </c>
      <c r="I1093" s="4"/>
      <c r="J1093" s="4"/>
      <c r="K1093" s="4"/>
      <c r="L1093" s="4"/>
    </row>
    <row r="1094" spans="1:12" x14ac:dyDescent="0.25">
      <c r="A1094" s="2" t="str">
        <f>HYPERLINK("https://www.list-org.com/company/14495971","https://www.list-org.com/company/14495971")</f>
        <v>https://www.list-org.com/company/14495971</v>
      </c>
      <c r="B1094" s="3" t="s">
        <v>5236</v>
      </c>
      <c r="C1094" s="3" t="s">
        <v>5237</v>
      </c>
      <c r="D1094" s="3" t="s">
        <v>14</v>
      </c>
      <c r="E1094" s="3" t="s">
        <v>5238</v>
      </c>
      <c r="F1094" s="3" t="s">
        <v>5239</v>
      </c>
      <c r="G1094" s="3"/>
      <c r="H1094" s="3" t="s">
        <v>5190</v>
      </c>
      <c r="I1094" s="4"/>
      <c r="J1094" s="4"/>
      <c r="K1094" s="4"/>
      <c r="L1094" s="4"/>
    </row>
    <row r="1095" spans="1:12" x14ac:dyDescent="0.25">
      <c r="A1095" s="2" t="str">
        <f>HYPERLINK("https://www.list-org.com/company/14496092","https://www.list-org.com/company/14496092")</f>
        <v>https://www.list-org.com/company/14496092</v>
      </c>
      <c r="B1095" s="3" t="s">
        <v>5240</v>
      </c>
      <c r="C1095" s="3" t="s">
        <v>5241</v>
      </c>
      <c r="D1095" s="3" t="s">
        <v>14</v>
      </c>
      <c r="E1095" s="3" t="s">
        <v>5242</v>
      </c>
      <c r="F1095" s="3" t="s">
        <v>5243</v>
      </c>
      <c r="G1095" s="3"/>
      <c r="H1095" s="3" t="s">
        <v>5244</v>
      </c>
      <c r="I1095" s="4"/>
      <c r="J1095" s="4"/>
      <c r="K1095" s="4"/>
      <c r="L1095" s="4"/>
    </row>
    <row r="1096" spans="1:12" x14ac:dyDescent="0.25">
      <c r="A1096" s="2" t="str">
        <f>HYPERLINK("https://www.list-org.com/company/14497320","https://www.list-org.com/company/14497320")</f>
        <v>https://www.list-org.com/company/14497320</v>
      </c>
      <c r="B1096" s="3" t="s">
        <v>5245</v>
      </c>
      <c r="C1096" s="3" t="s">
        <v>5246</v>
      </c>
      <c r="D1096" s="3" t="s">
        <v>14</v>
      </c>
      <c r="E1096" s="3" t="s">
        <v>5247</v>
      </c>
      <c r="F1096" s="3" t="s">
        <v>5248</v>
      </c>
      <c r="G1096" s="3"/>
      <c r="H1096" s="3" t="s">
        <v>5249</v>
      </c>
      <c r="I1096" s="4"/>
      <c r="J1096" s="4"/>
      <c r="K1096" s="4"/>
      <c r="L1096" s="4"/>
    </row>
    <row r="1097" spans="1:12" x14ac:dyDescent="0.25">
      <c r="A1097" s="2" t="str">
        <f>HYPERLINK("https://www.list-org.com/company/14497460","https://www.list-org.com/company/14497460")</f>
        <v>https://www.list-org.com/company/14497460</v>
      </c>
      <c r="B1097" s="3" t="s">
        <v>5250</v>
      </c>
      <c r="C1097" s="3" t="s">
        <v>5251</v>
      </c>
      <c r="D1097" s="3" t="s">
        <v>14</v>
      </c>
      <c r="E1097" s="3" t="s">
        <v>5252</v>
      </c>
      <c r="F1097" s="3" t="s">
        <v>5253</v>
      </c>
      <c r="G1097" s="3"/>
      <c r="H1097" s="3" t="s">
        <v>5254</v>
      </c>
      <c r="I1097" s="4"/>
      <c r="J1097" s="4"/>
      <c r="K1097" s="4"/>
      <c r="L1097" s="4"/>
    </row>
    <row r="1098" spans="1:12" x14ac:dyDescent="0.25">
      <c r="A1098" s="2" t="str">
        <f>HYPERLINK("https://www.list-org.com/company/14497472","https://www.list-org.com/company/14497472")</f>
        <v>https://www.list-org.com/company/14497472</v>
      </c>
      <c r="B1098" s="3" t="s">
        <v>5255</v>
      </c>
      <c r="C1098" s="3" t="s">
        <v>5256</v>
      </c>
      <c r="D1098" s="3" t="s">
        <v>14</v>
      </c>
      <c r="E1098" s="3" t="s">
        <v>5257</v>
      </c>
      <c r="F1098" s="3" t="s">
        <v>5258</v>
      </c>
      <c r="G1098" s="3"/>
      <c r="H1098" s="3" t="s">
        <v>5259</v>
      </c>
      <c r="I1098" s="4"/>
      <c r="J1098" s="4"/>
      <c r="K1098" s="4"/>
      <c r="L1098" s="4"/>
    </row>
    <row r="1099" spans="1:12" x14ac:dyDescent="0.25">
      <c r="A1099" s="2" t="str">
        <f>HYPERLINK("https://www.list-org.com/company/14497474","https://www.list-org.com/company/14497474")</f>
        <v>https://www.list-org.com/company/14497474</v>
      </c>
      <c r="B1099" s="3" t="s">
        <v>5260</v>
      </c>
      <c r="C1099" s="3" t="s">
        <v>5261</v>
      </c>
      <c r="D1099" s="3" t="s">
        <v>14</v>
      </c>
      <c r="E1099" s="3" t="s">
        <v>5262</v>
      </c>
      <c r="F1099" s="3" t="s">
        <v>5263</v>
      </c>
      <c r="G1099" s="3"/>
      <c r="H1099" s="3" t="s">
        <v>5264</v>
      </c>
      <c r="I1099" s="4"/>
      <c r="J1099" s="4"/>
      <c r="K1099" s="4"/>
      <c r="L1099" s="4"/>
    </row>
    <row r="1100" spans="1:12" x14ac:dyDescent="0.25">
      <c r="A1100" s="2" t="str">
        <f>HYPERLINK("https://www.list-org.com/company/14497526","https://www.list-org.com/company/14497526")</f>
        <v>https://www.list-org.com/company/14497526</v>
      </c>
      <c r="B1100" s="3" t="s">
        <v>5265</v>
      </c>
      <c r="C1100" s="3" t="s">
        <v>5266</v>
      </c>
      <c r="D1100" s="3" t="s">
        <v>14</v>
      </c>
      <c r="E1100" s="3" t="s">
        <v>5267</v>
      </c>
      <c r="F1100" s="3" t="s">
        <v>5268</v>
      </c>
      <c r="G1100" s="3"/>
      <c r="H1100" s="3" t="s">
        <v>5269</v>
      </c>
      <c r="I1100" s="4"/>
      <c r="J1100" s="4"/>
      <c r="K1100" s="4"/>
      <c r="L1100" s="4"/>
    </row>
    <row r="1101" spans="1:12" x14ac:dyDescent="0.25">
      <c r="A1101" s="2" t="str">
        <f>HYPERLINK("https://www.list-org.com/company/14498572","https://www.list-org.com/company/14498572")</f>
        <v>https://www.list-org.com/company/14498572</v>
      </c>
      <c r="B1101" s="3" t="s">
        <v>5270</v>
      </c>
      <c r="C1101" s="3" t="s">
        <v>5271</v>
      </c>
      <c r="D1101" s="3" t="s">
        <v>14</v>
      </c>
      <c r="E1101" s="3" t="s">
        <v>5272</v>
      </c>
      <c r="F1101" s="3" t="s">
        <v>5273</v>
      </c>
      <c r="G1101" s="3"/>
      <c r="H1101" s="3" t="s">
        <v>5274</v>
      </c>
      <c r="I1101" s="4"/>
      <c r="J1101" s="4"/>
      <c r="K1101" s="4"/>
      <c r="L1101" s="4"/>
    </row>
    <row r="1102" spans="1:12" x14ac:dyDescent="0.25">
      <c r="A1102" s="2" t="str">
        <f>HYPERLINK("https://www.list-org.com/company/14498765","https://www.list-org.com/company/14498765")</f>
        <v>https://www.list-org.com/company/14498765</v>
      </c>
      <c r="B1102" s="3" t="s">
        <v>5275</v>
      </c>
      <c r="C1102" s="3" t="s">
        <v>5276</v>
      </c>
      <c r="D1102" s="3" t="s">
        <v>14</v>
      </c>
      <c r="E1102" s="3" t="s">
        <v>5277</v>
      </c>
      <c r="F1102" s="3" t="s">
        <v>5278</v>
      </c>
      <c r="G1102" s="3"/>
      <c r="H1102" s="3" t="s">
        <v>1634</v>
      </c>
      <c r="I1102" s="4"/>
      <c r="J1102" s="4"/>
      <c r="K1102" s="4"/>
      <c r="L1102" s="4"/>
    </row>
    <row r="1103" spans="1:12" x14ac:dyDescent="0.25">
      <c r="A1103" s="2" t="str">
        <f>HYPERLINK("https://www.list-org.com/company/14499184","https://www.list-org.com/company/14499184")</f>
        <v>https://www.list-org.com/company/14499184</v>
      </c>
      <c r="B1103" s="3" t="s">
        <v>5279</v>
      </c>
      <c r="C1103" s="3" t="s">
        <v>5280</v>
      </c>
      <c r="D1103" s="3" t="s">
        <v>14</v>
      </c>
      <c r="E1103" s="3" t="s">
        <v>5281</v>
      </c>
      <c r="F1103" s="3" t="s">
        <v>5282</v>
      </c>
      <c r="G1103" s="3"/>
      <c r="H1103" s="3" t="s">
        <v>5283</v>
      </c>
      <c r="I1103" s="4"/>
      <c r="J1103" s="4"/>
      <c r="K1103" s="4"/>
      <c r="L1103" s="4"/>
    </row>
    <row r="1104" spans="1:12" x14ac:dyDescent="0.25">
      <c r="A1104" s="2" t="str">
        <f>HYPERLINK("https://www.list-org.com/company/14500082","https://www.list-org.com/company/14500082")</f>
        <v>https://www.list-org.com/company/14500082</v>
      </c>
      <c r="B1104" s="3" t="s">
        <v>5284</v>
      </c>
      <c r="C1104" s="3" t="s">
        <v>5285</v>
      </c>
      <c r="D1104" s="3" t="s">
        <v>14</v>
      </c>
      <c r="E1104" s="3" t="s">
        <v>5286</v>
      </c>
      <c r="F1104" s="3" t="s">
        <v>5287</v>
      </c>
      <c r="G1104" s="3"/>
      <c r="H1104" s="3" t="s">
        <v>2793</v>
      </c>
      <c r="I1104" s="4"/>
      <c r="J1104" s="4"/>
      <c r="K1104" s="4"/>
      <c r="L1104" s="4"/>
    </row>
    <row r="1105" spans="1:12" x14ac:dyDescent="0.25">
      <c r="A1105" s="2" t="str">
        <f>HYPERLINK("https://www.list-org.com/company/14501176","https://www.list-org.com/company/14501176")</f>
        <v>https://www.list-org.com/company/14501176</v>
      </c>
      <c r="B1105" s="3" t="s">
        <v>5288</v>
      </c>
      <c r="C1105" s="3" t="s">
        <v>5289</v>
      </c>
      <c r="D1105" s="3" t="s">
        <v>14</v>
      </c>
      <c r="E1105" s="3" t="s">
        <v>5290</v>
      </c>
      <c r="F1105" s="3" t="s">
        <v>5291</v>
      </c>
      <c r="G1105" s="3"/>
      <c r="H1105" s="3" t="s">
        <v>607</v>
      </c>
      <c r="I1105" s="4"/>
      <c r="J1105" s="4"/>
      <c r="K1105" s="4"/>
      <c r="L1105" s="4"/>
    </row>
    <row r="1106" spans="1:12" x14ac:dyDescent="0.25">
      <c r="A1106" s="2" t="str">
        <f>HYPERLINK("https://www.list-org.com/company/14501322","https://www.list-org.com/company/14501322")</f>
        <v>https://www.list-org.com/company/14501322</v>
      </c>
      <c r="B1106" s="3" t="s">
        <v>5292</v>
      </c>
      <c r="C1106" s="3" t="s">
        <v>5293</v>
      </c>
      <c r="D1106" s="3" t="s">
        <v>14</v>
      </c>
      <c r="E1106" s="3" t="s">
        <v>5294</v>
      </c>
      <c r="F1106" s="3" t="s">
        <v>5295</v>
      </c>
      <c r="G1106" s="3"/>
      <c r="H1106" s="3" t="s">
        <v>5296</v>
      </c>
      <c r="I1106" s="4"/>
      <c r="J1106" s="4"/>
      <c r="K1106" s="4"/>
      <c r="L1106" s="4"/>
    </row>
    <row r="1107" spans="1:12" x14ac:dyDescent="0.25">
      <c r="A1107" s="2" t="str">
        <f>HYPERLINK("https://www.list-org.com/company/14502570","https://www.list-org.com/company/14502570")</f>
        <v>https://www.list-org.com/company/14502570</v>
      </c>
      <c r="B1107" s="3" t="s">
        <v>5297</v>
      </c>
      <c r="C1107" s="3" t="s">
        <v>5298</v>
      </c>
      <c r="D1107" s="3" t="s">
        <v>14</v>
      </c>
      <c r="E1107" s="3" t="s">
        <v>5299</v>
      </c>
      <c r="F1107" s="3" t="s">
        <v>5300</v>
      </c>
      <c r="G1107" s="3"/>
      <c r="H1107" s="3" t="s">
        <v>5301</v>
      </c>
      <c r="I1107" s="4"/>
      <c r="J1107" s="4"/>
      <c r="K1107" s="4"/>
      <c r="L1107" s="4"/>
    </row>
    <row r="1108" spans="1:12" x14ac:dyDescent="0.25">
      <c r="A1108" s="2" t="str">
        <f>HYPERLINK("https://www.list-org.com/company/14502943","https://www.list-org.com/company/14502943")</f>
        <v>https://www.list-org.com/company/14502943</v>
      </c>
      <c r="B1108" s="3" t="s">
        <v>5302</v>
      </c>
      <c r="C1108" s="3" t="s">
        <v>5303</v>
      </c>
      <c r="D1108" s="3" t="s">
        <v>14</v>
      </c>
      <c r="E1108" s="3" t="s">
        <v>5304</v>
      </c>
      <c r="F1108" s="3" t="s">
        <v>5305</v>
      </c>
      <c r="G1108" s="3"/>
      <c r="H1108" s="3" t="s">
        <v>4615</v>
      </c>
      <c r="I1108" s="4"/>
      <c r="J1108" s="4"/>
      <c r="K1108" s="4"/>
      <c r="L1108" s="4"/>
    </row>
    <row r="1109" spans="1:12" x14ac:dyDescent="0.25">
      <c r="A1109" s="2" t="str">
        <f>HYPERLINK("https://www.list-org.com/company/14503077","https://www.list-org.com/company/14503077")</f>
        <v>https://www.list-org.com/company/14503077</v>
      </c>
      <c r="B1109" s="3" t="s">
        <v>5306</v>
      </c>
      <c r="C1109" s="3" t="s">
        <v>5307</v>
      </c>
      <c r="D1109" s="3" t="s">
        <v>14</v>
      </c>
      <c r="E1109" s="3" t="s">
        <v>5308</v>
      </c>
      <c r="F1109" s="3" t="s">
        <v>5309</v>
      </c>
      <c r="G1109" s="3"/>
      <c r="H1109" s="3" t="s">
        <v>497</v>
      </c>
      <c r="I1109" s="4"/>
      <c r="J1109" s="4"/>
      <c r="K1109" s="4"/>
      <c r="L1109" s="4"/>
    </row>
    <row r="1110" spans="1:12" x14ac:dyDescent="0.25">
      <c r="A1110" s="2" t="str">
        <f>HYPERLINK("https://www.list-org.com/company/14504952","https://www.list-org.com/company/14504952")</f>
        <v>https://www.list-org.com/company/14504952</v>
      </c>
      <c r="B1110" s="3" t="s">
        <v>5310</v>
      </c>
      <c r="C1110" s="3" t="s">
        <v>5311</v>
      </c>
      <c r="D1110" s="3" t="s">
        <v>14</v>
      </c>
      <c r="E1110" s="3" t="s">
        <v>5312</v>
      </c>
      <c r="F1110" s="3" t="s">
        <v>5313</v>
      </c>
      <c r="G1110" s="3"/>
      <c r="H1110" s="3" t="s">
        <v>5314</v>
      </c>
      <c r="I1110" s="4"/>
      <c r="J1110" s="4">
        <v>158</v>
      </c>
      <c r="K1110" s="4">
        <v>20</v>
      </c>
      <c r="L1110" s="4">
        <v>30</v>
      </c>
    </row>
    <row r="1111" spans="1:12" x14ac:dyDescent="0.25">
      <c r="A1111" s="2" t="str">
        <f>HYPERLINK("https://www.list-org.com/company/14505990","https://www.list-org.com/company/14505990")</f>
        <v>https://www.list-org.com/company/14505990</v>
      </c>
      <c r="B1111" s="3" t="s">
        <v>5315</v>
      </c>
      <c r="C1111" s="3" t="s">
        <v>5316</v>
      </c>
      <c r="D1111" s="3" t="s">
        <v>14</v>
      </c>
      <c r="E1111" s="3" t="s">
        <v>5317</v>
      </c>
      <c r="F1111" s="3" t="s">
        <v>5318</v>
      </c>
      <c r="G1111" s="3"/>
      <c r="H1111" s="3" t="s">
        <v>1687</v>
      </c>
      <c r="I1111" s="4"/>
      <c r="J1111" s="4"/>
      <c r="K1111" s="4"/>
      <c r="L1111" s="4"/>
    </row>
    <row r="1112" spans="1:12" x14ac:dyDescent="0.25">
      <c r="A1112" s="2" t="str">
        <f>HYPERLINK("https://www.list-org.com/company/14506679","https://www.list-org.com/company/14506679")</f>
        <v>https://www.list-org.com/company/14506679</v>
      </c>
      <c r="B1112" s="3" t="s">
        <v>5319</v>
      </c>
      <c r="C1112" s="3" t="s">
        <v>5320</v>
      </c>
      <c r="D1112" s="3" t="s">
        <v>14</v>
      </c>
      <c r="E1112" s="3" t="s">
        <v>5321</v>
      </c>
      <c r="F1112" s="3" t="s">
        <v>5322</v>
      </c>
      <c r="G1112" s="3"/>
      <c r="H1112" s="3" t="s">
        <v>1867</v>
      </c>
      <c r="I1112" s="4"/>
      <c r="J1112" s="4"/>
      <c r="K1112" s="4"/>
      <c r="L1112" s="4"/>
    </row>
    <row r="1113" spans="1:12" x14ac:dyDescent="0.25">
      <c r="A1113" s="2" t="str">
        <f>HYPERLINK("https://www.list-org.com/company/14507871","https://www.list-org.com/company/14507871")</f>
        <v>https://www.list-org.com/company/14507871</v>
      </c>
      <c r="B1113" s="3" t="s">
        <v>5323</v>
      </c>
      <c r="C1113" s="3" t="s">
        <v>5324</v>
      </c>
      <c r="D1113" s="3" t="s">
        <v>14</v>
      </c>
      <c r="E1113" s="3" t="s">
        <v>5325</v>
      </c>
      <c r="F1113" s="3" t="s">
        <v>5326</v>
      </c>
      <c r="G1113" s="3"/>
      <c r="H1113" s="3" t="s">
        <v>5327</v>
      </c>
      <c r="I1113" s="4"/>
      <c r="J1113" s="4"/>
      <c r="K1113" s="4"/>
      <c r="L1113" s="4"/>
    </row>
    <row r="1114" spans="1:12" x14ac:dyDescent="0.25">
      <c r="A1114" s="2" t="str">
        <f>HYPERLINK("https://www.list-org.com/company/14508363","https://www.list-org.com/company/14508363")</f>
        <v>https://www.list-org.com/company/14508363</v>
      </c>
      <c r="B1114" s="3" t="s">
        <v>5328</v>
      </c>
      <c r="C1114" s="3" t="s">
        <v>5329</v>
      </c>
      <c r="D1114" s="3" t="s">
        <v>14</v>
      </c>
      <c r="E1114" s="3" t="s">
        <v>5330</v>
      </c>
      <c r="F1114" s="3" t="s">
        <v>5331</v>
      </c>
      <c r="G1114" s="3"/>
      <c r="H1114" s="3" t="s">
        <v>5332</v>
      </c>
      <c r="I1114" s="4"/>
      <c r="J1114" s="4"/>
      <c r="K1114" s="4"/>
      <c r="L1114" s="4"/>
    </row>
    <row r="1115" spans="1:12" x14ac:dyDescent="0.25">
      <c r="A1115" s="2" t="str">
        <f>HYPERLINK("https://www.list-org.com/company/14509332","https://www.list-org.com/company/14509332")</f>
        <v>https://www.list-org.com/company/14509332</v>
      </c>
      <c r="B1115" s="3" t="s">
        <v>5333</v>
      </c>
      <c r="C1115" s="3" t="s">
        <v>5334</v>
      </c>
      <c r="D1115" s="3" t="s">
        <v>14</v>
      </c>
      <c r="E1115" s="3" t="s">
        <v>5335</v>
      </c>
      <c r="F1115" s="3" t="s">
        <v>5336</v>
      </c>
      <c r="G1115" s="3"/>
      <c r="H1115" s="3" t="s">
        <v>5337</v>
      </c>
      <c r="I1115" s="4"/>
      <c r="J1115" s="4"/>
      <c r="K1115" s="4"/>
      <c r="L1115" s="4"/>
    </row>
    <row r="1116" spans="1:12" x14ac:dyDescent="0.25">
      <c r="A1116" s="2" t="str">
        <f>HYPERLINK("https://www.list-org.com/company/14509368","https://www.list-org.com/company/14509368")</f>
        <v>https://www.list-org.com/company/14509368</v>
      </c>
      <c r="B1116" s="3" t="s">
        <v>2343</v>
      </c>
      <c r="C1116" s="3" t="s">
        <v>2344</v>
      </c>
      <c r="D1116" s="3" t="s">
        <v>14</v>
      </c>
      <c r="E1116" s="3" t="s">
        <v>5338</v>
      </c>
      <c r="F1116" s="3" t="s">
        <v>5339</v>
      </c>
      <c r="G1116" s="3"/>
      <c r="H1116" s="3" t="s">
        <v>5340</v>
      </c>
      <c r="I1116" s="4"/>
      <c r="J1116" s="4"/>
      <c r="K1116" s="4"/>
      <c r="L1116" s="4"/>
    </row>
    <row r="1117" spans="1:12" x14ac:dyDescent="0.25">
      <c r="A1117" s="2" t="str">
        <f>HYPERLINK("https://www.list-org.com/company/14512754","https://www.list-org.com/company/14512754")</f>
        <v>https://www.list-org.com/company/14512754</v>
      </c>
      <c r="B1117" s="3" t="s">
        <v>5341</v>
      </c>
      <c r="C1117" s="3" t="s">
        <v>5342</v>
      </c>
      <c r="D1117" s="3" t="s">
        <v>14</v>
      </c>
      <c r="E1117" s="3" t="s">
        <v>5343</v>
      </c>
      <c r="F1117" s="3" t="s">
        <v>5344</v>
      </c>
      <c r="G1117" s="3"/>
      <c r="H1117" s="3" t="s">
        <v>2332</v>
      </c>
      <c r="I1117" s="4"/>
      <c r="J1117" s="4"/>
      <c r="K1117" s="4"/>
      <c r="L1117" s="4"/>
    </row>
    <row r="1118" spans="1:12" x14ac:dyDescent="0.25">
      <c r="A1118" s="2" t="str">
        <f>HYPERLINK("https://www.list-org.com/company/14512913","https://www.list-org.com/company/14512913")</f>
        <v>https://www.list-org.com/company/14512913</v>
      </c>
      <c r="B1118" s="3" t="s">
        <v>5345</v>
      </c>
      <c r="C1118" s="3" t="s">
        <v>5346</v>
      </c>
      <c r="D1118" s="3" t="s">
        <v>14</v>
      </c>
      <c r="E1118" s="3" t="s">
        <v>5347</v>
      </c>
      <c r="F1118" s="3" t="s">
        <v>5348</v>
      </c>
      <c r="G1118" s="3"/>
      <c r="H1118" s="3" t="s">
        <v>5349</v>
      </c>
      <c r="I1118" s="4"/>
      <c r="J1118" s="4"/>
      <c r="K1118" s="4"/>
      <c r="L1118" s="4"/>
    </row>
    <row r="1119" spans="1:12" x14ac:dyDescent="0.25">
      <c r="A1119" s="2" t="str">
        <f>HYPERLINK("https://www.list-org.com/company/14513872","https://www.list-org.com/company/14513872")</f>
        <v>https://www.list-org.com/company/14513872</v>
      </c>
      <c r="B1119" s="3" t="s">
        <v>5350</v>
      </c>
      <c r="C1119" s="3" t="s">
        <v>5351</v>
      </c>
      <c r="D1119" s="3" t="s">
        <v>14</v>
      </c>
      <c r="E1119" s="3" t="s">
        <v>5352</v>
      </c>
      <c r="F1119" s="3" t="s">
        <v>5353</v>
      </c>
      <c r="G1119" s="3"/>
      <c r="H1119" s="3" t="s">
        <v>1779</v>
      </c>
      <c r="I1119" s="4"/>
      <c r="J1119" s="4"/>
      <c r="K1119" s="4"/>
      <c r="L1119" s="4"/>
    </row>
    <row r="1120" spans="1:12" x14ac:dyDescent="0.25">
      <c r="A1120" s="2" t="str">
        <f>HYPERLINK("https://www.list-org.com/company/14513881","https://www.list-org.com/company/14513881")</f>
        <v>https://www.list-org.com/company/14513881</v>
      </c>
      <c r="B1120" s="3" t="s">
        <v>5354</v>
      </c>
      <c r="C1120" s="3" t="s">
        <v>5355</v>
      </c>
      <c r="D1120" s="3" t="s">
        <v>14</v>
      </c>
      <c r="E1120" s="3" t="s">
        <v>5356</v>
      </c>
      <c r="F1120" s="3" t="s">
        <v>5357</v>
      </c>
      <c r="G1120" s="3"/>
      <c r="H1120" s="3" t="s">
        <v>5358</v>
      </c>
      <c r="I1120" s="4"/>
      <c r="J1120" s="4"/>
      <c r="K1120" s="4"/>
      <c r="L1120" s="4"/>
    </row>
    <row r="1121" spans="1:12" x14ac:dyDescent="0.25">
      <c r="A1121" s="2" t="str">
        <f>HYPERLINK("https://www.list-org.com/company/14514080","https://www.list-org.com/company/14514080")</f>
        <v>https://www.list-org.com/company/14514080</v>
      </c>
      <c r="B1121" s="3" t="s">
        <v>5359</v>
      </c>
      <c r="C1121" s="3" t="s">
        <v>5360</v>
      </c>
      <c r="D1121" s="3" t="s">
        <v>14</v>
      </c>
      <c r="E1121" s="3" t="s">
        <v>5361</v>
      </c>
      <c r="F1121" s="3" t="s">
        <v>5362</v>
      </c>
      <c r="G1121" s="3"/>
      <c r="H1121" s="3" t="s">
        <v>5363</v>
      </c>
      <c r="I1121" s="4"/>
      <c r="J1121" s="4"/>
      <c r="K1121" s="4"/>
      <c r="L1121" s="4"/>
    </row>
    <row r="1122" spans="1:12" x14ac:dyDescent="0.25">
      <c r="A1122" s="2" t="str">
        <f>HYPERLINK("https://www.list-org.com/company/14516974","https://www.list-org.com/company/14516974")</f>
        <v>https://www.list-org.com/company/14516974</v>
      </c>
      <c r="B1122" s="3" t="s">
        <v>5364</v>
      </c>
      <c r="C1122" s="3" t="s">
        <v>5365</v>
      </c>
      <c r="D1122" s="3" t="s">
        <v>14</v>
      </c>
      <c r="E1122" s="3" t="s">
        <v>5366</v>
      </c>
      <c r="F1122" s="3" t="s">
        <v>5367</v>
      </c>
      <c r="G1122" s="3"/>
      <c r="H1122" s="3" t="s">
        <v>5368</v>
      </c>
      <c r="I1122" s="4"/>
      <c r="J1122" s="4"/>
      <c r="K1122" s="4"/>
      <c r="L1122" s="4"/>
    </row>
    <row r="1123" spans="1:12" x14ac:dyDescent="0.25">
      <c r="A1123" s="2" t="str">
        <f>HYPERLINK("https://www.list-org.com/company/14517331","https://www.list-org.com/company/14517331")</f>
        <v>https://www.list-org.com/company/14517331</v>
      </c>
      <c r="B1123" s="3" t="s">
        <v>5369</v>
      </c>
      <c r="C1123" s="3" t="s">
        <v>5370</v>
      </c>
      <c r="D1123" s="3" t="s">
        <v>14</v>
      </c>
      <c r="E1123" s="3" t="s">
        <v>5371</v>
      </c>
      <c r="F1123" s="3" t="s">
        <v>5372</v>
      </c>
      <c r="G1123" s="3"/>
      <c r="H1123" s="3" t="s">
        <v>711</v>
      </c>
      <c r="I1123" s="4"/>
      <c r="J1123" s="4"/>
      <c r="K1123" s="4"/>
      <c r="L1123" s="4"/>
    </row>
    <row r="1124" spans="1:12" x14ac:dyDescent="0.25">
      <c r="A1124" s="2" t="str">
        <f>HYPERLINK("https://www.list-org.com/company/14517783","https://www.list-org.com/company/14517783")</f>
        <v>https://www.list-org.com/company/14517783</v>
      </c>
      <c r="B1124" s="3" t="s">
        <v>5373</v>
      </c>
      <c r="C1124" s="3" t="s">
        <v>5374</v>
      </c>
      <c r="D1124" s="3" t="s">
        <v>14</v>
      </c>
      <c r="E1124" s="3" t="s">
        <v>5375</v>
      </c>
      <c r="F1124" s="3" t="s">
        <v>5376</v>
      </c>
      <c r="G1124" s="3"/>
      <c r="H1124" s="3" t="s">
        <v>5377</v>
      </c>
      <c r="I1124" s="4"/>
      <c r="J1124" s="4"/>
      <c r="K1124" s="4"/>
      <c r="L1124" s="4"/>
    </row>
    <row r="1125" spans="1:12" x14ac:dyDescent="0.25">
      <c r="A1125" s="2" t="str">
        <f>HYPERLINK("https://www.list-org.com/company/14517934","https://www.list-org.com/company/14517934")</f>
        <v>https://www.list-org.com/company/14517934</v>
      </c>
      <c r="B1125" s="3" t="s">
        <v>5378</v>
      </c>
      <c r="C1125" s="3" t="s">
        <v>5379</v>
      </c>
      <c r="D1125" s="3" t="s">
        <v>14</v>
      </c>
      <c r="E1125" s="3" t="s">
        <v>5380</v>
      </c>
      <c r="F1125" s="3" t="s">
        <v>5381</v>
      </c>
      <c r="G1125" s="3"/>
      <c r="H1125" s="3" t="s">
        <v>5382</v>
      </c>
      <c r="I1125" s="4"/>
      <c r="J1125" s="4"/>
      <c r="K1125" s="4"/>
      <c r="L1125" s="4"/>
    </row>
    <row r="1126" spans="1:12" x14ac:dyDescent="0.25">
      <c r="A1126" s="2" t="str">
        <f>HYPERLINK("https://www.list-org.com/company/14518010","https://www.list-org.com/company/14518010")</f>
        <v>https://www.list-org.com/company/14518010</v>
      </c>
      <c r="B1126" s="3" t="s">
        <v>5383</v>
      </c>
      <c r="C1126" s="3" t="s">
        <v>5384</v>
      </c>
      <c r="D1126" s="3" t="s">
        <v>14</v>
      </c>
      <c r="E1126" s="3" t="s">
        <v>5385</v>
      </c>
      <c r="F1126" s="3" t="s">
        <v>5386</v>
      </c>
      <c r="G1126" s="3"/>
      <c r="H1126" s="3" t="s">
        <v>5387</v>
      </c>
      <c r="I1126" s="4"/>
      <c r="J1126" s="4"/>
      <c r="K1126" s="4"/>
      <c r="L1126" s="4"/>
    </row>
    <row r="1127" spans="1:12" x14ac:dyDescent="0.25">
      <c r="A1127" s="2" t="str">
        <f>HYPERLINK("https://www.list-org.com/company/14519751","https://www.list-org.com/company/14519751")</f>
        <v>https://www.list-org.com/company/14519751</v>
      </c>
      <c r="B1127" s="3" t="s">
        <v>5388</v>
      </c>
      <c r="C1127" s="3" t="s">
        <v>5389</v>
      </c>
      <c r="D1127" s="3" t="s">
        <v>14</v>
      </c>
      <c r="E1127" s="3" t="s">
        <v>5390</v>
      </c>
      <c r="F1127" s="3" t="s">
        <v>5391</v>
      </c>
      <c r="G1127" s="3"/>
      <c r="H1127" s="3" t="s">
        <v>5392</v>
      </c>
      <c r="I1127" s="4"/>
      <c r="J1127" s="4"/>
      <c r="K1127" s="4"/>
      <c r="L1127" s="4"/>
    </row>
    <row r="1128" spans="1:12" x14ac:dyDescent="0.25">
      <c r="A1128" s="2" t="str">
        <f>HYPERLINK("https://www.list-org.com/company/14519929","https://www.list-org.com/company/14519929")</f>
        <v>https://www.list-org.com/company/14519929</v>
      </c>
      <c r="B1128" s="3" t="s">
        <v>5393</v>
      </c>
      <c r="C1128" s="3" t="s">
        <v>5394</v>
      </c>
      <c r="D1128" s="3" t="s">
        <v>14</v>
      </c>
      <c r="E1128" s="3" t="s">
        <v>5395</v>
      </c>
      <c r="F1128" s="3" t="s">
        <v>5396</v>
      </c>
      <c r="G1128" s="3"/>
      <c r="H1128" s="3" t="s">
        <v>5397</v>
      </c>
      <c r="I1128" s="4"/>
      <c r="J1128" s="4"/>
      <c r="K1128" s="4"/>
      <c r="L1128" s="4"/>
    </row>
    <row r="1129" spans="1:12" x14ac:dyDescent="0.25">
      <c r="A1129" s="2" t="str">
        <f>HYPERLINK("https://www.list-org.com/company/14519931","https://www.list-org.com/company/14519931")</f>
        <v>https://www.list-org.com/company/14519931</v>
      </c>
      <c r="B1129" s="3" t="s">
        <v>5398</v>
      </c>
      <c r="C1129" s="3" t="s">
        <v>5399</v>
      </c>
      <c r="D1129" s="3" t="s">
        <v>14</v>
      </c>
      <c r="E1129" s="3" t="s">
        <v>5400</v>
      </c>
      <c r="F1129" s="3" t="s">
        <v>5401</v>
      </c>
      <c r="G1129" s="3"/>
      <c r="H1129" s="3" t="s">
        <v>5402</v>
      </c>
      <c r="I1129" s="4"/>
      <c r="J1129" s="4"/>
      <c r="K1129" s="4"/>
      <c r="L1129" s="4"/>
    </row>
    <row r="1130" spans="1:12" x14ac:dyDescent="0.25">
      <c r="A1130" s="2" t="str">
        <f>HYPERLINK("https://www.list-org.com/company/14519933","https://www.list-org.com/company/14519933")</f>
        <v>https://www.list-org.com/company/14519933</v>
      </c>
      <c r="B1130" s="3" t="s">
        <v>5403</v>
      </c>
      <c r="C1130" s="3" t="s">
        <v>5404</v>
      </c>
      <c r="D1130" s="3" t="s">
        <v>14</v>
      </c>
      <c r="E1130" s="3" t="s">
        <v>5405</v>
      </c>
      <c r="F1130" s="3" t="s">
        <v>5406</v>
      </c>
      <c r="G1130" s="3"/>
      <c r="H1130" s="3" t="s">
        <v>5407</v>
      </c>
      <c r="I1130" s="4"/>
      <c r="J1130" s="4"/>
      <c r="K1130" s="4"/>
      <c r="L1130" s="4"/>
    </row>
    <row r="1131" spans="1:12" x14ac:dyDescent="0.25">
      <c r="A1131" s="2" t="str">
        <f>HYPERLINK("https://www.list-org.com/company/14521476","https://www.list-org.com/company/14521476")</f>
        <v>https://www.list-org.com/company/14521476</v>
      </c>
      <c r="B1131" s="3" t="s">
        <v>5408</v>
      </c>
      <c r="C1131" s="3" t="s">
        <v>5408</v>
      </c>
      <c r="D1131" s="3" t="s">
        <v>14</v>
      </c>
      <c r="E1131" s="3" t="s">
        <v>5409</v>
      </c>
      <c r="F1131" s="3" t="s">
        <v>5410</v>
      </c>
      <c r="G1131" s="3"/>
      <c r="H1131" s="3" t="s">
        <v>505</v>
      </c>
      <c r="I1131" s="4"/>
      <c r="J1131" s="4"/>
      <c r="K1131" s="4"/>
      <c r="L1131" s="4"/>
    </row>
    <row r="1132" spans="1:12" x14ac:dyDescent="0.25">
      <c r="A1132" s="2" t="str">
        <f>HYPERLINK("https://www.list-org.com/company/14521721","https://www.list-org.com/company/14521721")</f>
        <v>https://www.list-org.com/company/14521721</v>
      </c>
      <c r="B1132" s="3" t="s">
        <v>5411</v>
      </c>
      <c r="C1132" s="3" t="s">
        <v>5412</v>
      </c>
      <c r="D1132" s="3" t="s">
        <v>14</v>
      </c>
      <c r="E1132" s="3" t="s">
        <v>5413</v>
      </c>
      <c r="F1132" s="3" t="s">
        <v>5414</v>
      </c>
      <c r="G1132" s="3"/>
      <c r="H1132" s="3" t="s">
        <v>5415</v>
      </c>
      <c r="I1132" s="4"/>
      <c r="J1132" s="4"/>
      <c r="K1132" s="4"/>
      <c r="L1132" s="4"/>
    </row>
    <row r="1133" spans="1:12" x14ac:dyDescent="0.25">
      <c r="A1133" s="2" t="str">
        <f>HYPERLINK("https://www.list-org.com/company/14522187","https://www.list-org.com/company/14522187")</f>
        <v>https://www.list-org.com/company/14522187</v>
      </c>
      <c r="B1133" s="3" t="s">
        <v>5416</v>
      </c>
      <c r="C1133" s="3" t="s">
        <v>5417</v>
      </c>
      <c r="D1133" s="3" t="s">
        <v>14</v>
      </c>
      <c r="E1133" s="3" t="s">
        <v>5418</v>
      </c>
      <c r="F1133" s="3" t="s">
        <v>5419</v>
      </c>
      <c r="G1133" s="3"/>
      <c r="H1133" s="3" t="s">
        <v>5420</v>
      </c>
      <c r="I1133" s="4"/>
      <c r="J1133" s="4"/>
      <c r="K1133" s="4"/>
      <c r="L1133" s="4"/>
    </row>
    <row r="1134" spans="1:12" x14ac:dyDescent="0.25">
      <c r="A1134" s="2" t="str">
        <f>HYPERLINK("https://www.list-org.com/company/14523581","https://www.list-org.com/company/14523581")</f>
        <v>https://www.list-org.com/company/14523581</v>
      </c>
      <c r="B1134" s="3" t="s">
        <v>5421</v>
      </c>
      <c r="C1134" s="3" t="s">
        <v>5422</v>
      </c>
      <c r="D1134" s="3" t="s">
        <v>14</v>
      </c>
      <c r="E1134" s="3" t="s">
        <v>5423</v>
      </c>
      <c r="F1134" s="3" t="s">
        <v>5424</v>
      </c>
      <c r="G1134" s="3"/>
      <c r="H1134" s="3" t="s">
        <v>5425</v>
      </c>
      <c r="I1134" s="4"/>
      <c r="J1134" s="4"/>
      <c r="K1134" s="4"/>
      <c r="L1134" s="4"/>
    </row>
    <row r="1135" spans="1:12" x14ac:dyDescent="0.25">
      <c r="A1135" s="2" t="str">
        <f>HYPERLINK("https://www.list-org.com/company/14523659","https://www.list-org.com/company/14523659")</f>
        <v>https://www.list-org.com/company/14523659</v>
      </c>
      <c r="B1135" s="3" t="s">
        <v>5426</v>
      </c>
      <c r="C1135" s="3" t="s">
        <v>5427</v>
      </c>
      <c r="D1135" s="3" t="s">
        <v>14</v>
      </c>
      <c r="E1135" s="3" t="s">
        <v>5428</v>
      </c>
      <c r="F1135" s="3" t="s">
        <v>5429</v>
      </c>
      <c r="G1135" s="3"/>
      <c r="H1135" s="3" t="s">
        <v>5430</v>
      </c>
      <c r="I1135" s="4"/>
      <c r="J1135" s="4"/>
      <c r="K1135" s="4"/>
      <c r="L1135" s="4"/>
    </row>
    <row r="1136" spans="1:12" x14ac:dyDescent="0.25">
      <c r="A1136" s="2" t="str">
        <f>HYPERLINK("https://www.list-org.com/company/14525946","https://www.list-org.com/company/14525946")</f>
        <v>https://www.list-org.com/company/14525946</v>
      </c>
      <c r="B1136" s="3" t="s">
        <v>5431</v>
      </c>
      <c r="C1136" s="3" t="s">
        <v>5432</v>
      </c>
      <c r="D1136" s="3" t="s">
        <v>14</v>
      </c>
      <c r="E1136" s="3" t="s">
        <v>5433</v>
      </c>
      <c r="F1136" s="3" t="s">
        <v>5434</v>
      </c>
      <c r="G1136" s="3"/>
      <c r="H1136" s="3" t="s">
        <v>5435</v>
      </c>
      <c r="I1136" s="4"/>
      <c r="J1136" s="4"/>
      <c r="K1136" s="4"/>
      <c r="L1136" s="4"/>
    </row>
    <row r="1137" spans="1:12" x14ac:dyDescent="0.25">
      <c r="A1137" s="2" t="str">
        <f>HYPERLINK("https://www.list-org.com/company/14526121","https://www.list-org.com/company/14526121")</f>
        <v>https://www.list-org.com/company/14526121</v>
      </c>
      <c r="B1137" s="3" t="s">
        <v>5436</v>
      </c>
      <c r="C1137" s="3" t="s">
        <v>5437</v>
      </c>
      <c r="D1137" s="3" t="s">
        <v>14</v>
      </c>
      <c r="E1137" s="3" t="s">
        <v>5438</v>
      </c>
      <c r="F1137" s="3" t="s">
        <v>5439</v>
      </c>
      <c r="G1137" s="3"/>
      <c r="H1137" s="3" t="s">
        <v>5440</v>
      </c>
      <c r="I1137" s="4"/>
      <c r="J1137" s="4">
        <v>21</v>
      </c>
      <c r="K1137" s="4">
        <v>-69</v>
      </c>
      <c r="L1137" s="4">
        <v>-59</v>
      </c>
    </row>
    <row r="1138" spans="1:12" x14ac:dyDescent="0.25">
      <c r="A1138" s="2" t="str">
        <f>HYPERLINK("https://www.list-org.com/company/14526450","https://www.list-org.com/company/14526450")</f>
        <v>https://www.list-org.com/company/14526450</v>
      </c>
      <c r="B1138" s="3" t="s">
        <v>5441</v>
      </c>
      <c r="C1138" s="3" t="s">
        <v>5442</v>
      </c>
      <c r="D1138" s="3" t="s">
        <v>14</v>
      </c>
      <c r="E1138" s="3" t="s">
        <v>5443</v>
      </c>
      <c r="F1138" s="3" t="s">
        <v>5444</v>
      </c>
      <c r="G1138" s="3"/>
      <c r="H1138" s="3" t="s">
        <v>5445</v>
      </c>
      <c r="I1138" s="4"/>
      <c r="J1138" s="4"/>
      <c r="K1138" s="4"/>
      <c r="L1138" s="4"/>
    </row>
    <row r="1139" spans="1:12" x14ac:dyDescent="0.25">
      <c r="A1139" s="2" t="str">
        <f>HYPERLINK("https://www.list-org.com/company/14526579","https://www.list-org.com/company/14526579")</f>
        <v>https://www.list-org.com/company/14526579</v>
      </c>
      <c r="B1139" s="3" t="s">
        <v>5446</v>
      </c>
      <c r="C1139" s="3" t="s">
        <v>5447</v>
      </c>
      <c r="D1139" s="3" t="s">
        <v>14</v>
      </c>
      <c r="E1139" s="3" t="s">
        <v>5448</v>
      </c>
      <c r="F1139" s="3" t="s">
        <v>5449</v>
      </c>
      <c r="G1139" s="3"/>
      <c r="H1139" s="3" t="s">
        <v>5450</v>
      </c>
      <c r="I1139" s="4"/>
      <c r="J1139" s="4"/>
      <c r="K1139" s="4"/>
      <c r="L1139" s="4"/>
    </row>
    <row r="1140" spans="1:12" x14ac:dyDescent="0.25">
      <c r="A1140" s="2" t="str">
        <f>HYPERLINK("https://www.list-org.com/company/14527115","https://www.list-org.com/company/14527115")</f>
        <v>https://www.list-org.com/company/14527115</v>
      </c>
      <c r="B1140" s="3" t="s">
        <v>5451</v>
      </c>
      <c r="C1140" s="3" t="s">
        <v>5452</v>
      </c>
      <c r="D1140" s="3" t="s">
        <v>14</v>
      </c>
      <c r="E1140" s="3" t="s">
        <v>5453</v>
      </c>
      <c r="F1140" s="3" t="s">
        <v>5454</v>
      </c>
      <c r="G1140" s="3"/>
      <c r="H1140" s="3" t="s">
        <v>5455</v>
      </c>
      <c r="I1140" s="4"/>
      <c r="J1140" s="4"/>
      <c r="K1140" s="4"/>
      <c r="L1140" s="4"/>
    </row>
    <row r="1141" spans="1:12" x14ac:dyDescent="0.25">
      <c r="A1141" s="2" t="str">
        <f>HYPERLINK("https://www.list-org.com/company/14527548","https://www.list-org.com/company/14527548")</f>
        <v>https://www.list-org.com/company/14527548</v>
      </c>
      <c r="B1141" s="3" t="s">
        <v>5456</v>
      </c>
      <c r="C1141" s="3" t="s">
        <v>5457</v>
      </c>
      <c r="D1141" s="3" t="s">
        <v>14</v>
      </c>
      <c r="E1141" s="3" t="s">
        <v>5458</v>
      </c>
      <c r="F1141" s="3" t="s">
        <v>5459</v>
      </c>
      <c r="G1141" s="3"/>
      <c r="H1141" s="3" t="s">
        <v>2231</v>
      </c>
      <c r="I1141" s="4"/>
      <c r="J1141" s="4"/>
      <c r="K1141" s="4"/>
      <c r="L1141" s="4"/>
    </row>
    <row r="1142" spans="1:12" x14ac:dyDescent="0.25">
      <c r="A1142" s="2" t="str">
        <f>HYPERLINK("https://www.list-org.com/company/14528562","https://www.list-org.com/company/14528562")</f>
        <v>https://www.list-org.com/company/14528562</v>
      </c>
      <c r="B1142" s="3" t="s">
        <v>5460</v>
      </c>
      <c r="C1142" s="3" t="s">
        <v>5461</v>
      </c>
      <c r="D1142" s="3" t="s">
        <v>14</v>
      </c>
      <c r="E1142" s="3" t="s">
        <v>5462</v>
      </c>
      <c r="F1142" s="3" t="s">
        <v>5463</v>
      </c>
      <c r="G1142" s="3"/>
      <c r="H1142" s="3" t="s">
        <v>4641</v>
      </c>
      <c r="I1142" s="4"/>
      <c r="J1142" s="4"/>
      <c r="K1142" s="4"/>
      <c r="L1142" s="4"/>
    </row>
    <row r="1143" spans="1:12" x14ac:dyDescent="0.25">
      <c r="A1143" s="2" t="str">
        <f>HYPERLINK("https://www.list-org.com/company/14528801","https://www.list-org.com/company/14528801")</f>
        <v>https://www.list-org.com/company/14528801</v>
      </c>
      <c r="B1143" s="3" t="s">
        <v>5464</v>
      </c>
      <c r="C1143" s="3" t="s">
        <v>5465</v>
      </c>
      <c r="D1143" s="3" t="s">
        <v>14</v>
      </c>
      <c r="E1143" s="3" t="s">
        <v>5466</v>
      </c>
      <c r="F1143" s="3" t="s">
        <v>5467</v>
      </c>
      <c r="G1143" s="3"/>
      <c r="H1143" s="3" t="s">
        <v>5468</v>
      </c>
      <c r="I1143" s="4"/>
      <c r="J1143" s="4"/>
      <c r="K1143" s="4"/>
      <c r="L1143" s="4"/>
    </row>
    <row r="1144" spans="1:12" x14ac:dyDescent="0.25">
      <c r="A1144" s="2" t="str">
        <f>HYPERLINK("https://www.list-org.com/company/14529298","https://www.list-org.com/company/14529298")</f>
        <v>https://www.list-org.com/company/14529298</v>
      </c>
      <c r="B1144" s="3" t="s">
        <v>5469</v>
      </c>
      <c r="C1144" s="3" t="s">
        <v>5470</v>
      </c>
      <c r="D1144" s="3" t="s">
        <v>14</v>
      </c>
      <c r="E1144" s="3" t="s">
        <v>5471</v>
      </c>
      <c r="F1144" s="3" t="s">
        <v>5472</v>
      </c>
      <c r="G1144" s="3"/>
      <c r="H1144" s="3" t="s">
        <v>5473</v>
      </c>
      <c r="I1144" s="4"/>
      <c r="J1144" s="4"/>
      <c r="K1144" s="4"/>
      <c r="L1144" s="4"/>
    </row>
    <row r="1145" spans="1:12" x14ac:dyDescent="0.25">
      <c r="A1145" s="2" t="str">
        <f>HYPERLINK("https://www.list-org.com/company/14530630","https://www.list-org.com/company/14530630")</f>
        <v>https://www.list-org.com/company/14530630</v>
      </c>
      <c r="B1145" s="3" t="s">
        <v>5474</v>
      </c>
      <c r="C1145" s="3" t="s">
        <v>5475</v>
      </c>
      <c r="D1145" s="3" t="s">
        <v>14</v>
      </c>
      <c r="E1145" s="3" t="s">
        <v>5476</v>
      </c>
      <c r="F1145" s="3" t="s">
        <v>5477</v>
      </c>
      <c r="G1145" s="3"/>
      <c r="H1145" s="3" t="s">
        <v>5478</v>
      </c>
      <c r="I1145" s="4"/>
      <c r="J1145" s="4"/>
      <c r="K1145" s="4"/>
      <c r="L1145" s="4"/>
    </row>
    <row r="1146" spans="1:12" x14ac:dyDescent="0.25">
      <c r="A1146" s="2" t="str">
        <f>HYPERLINK("https://www.list-org.com/company/14530850","https://www.list-org.com/company/14530850")</f>
        <v>https://www.list-org.com/company/14530850</v>
      </c>
      <c r="B1146" s="3" t="s">
        <v>5479</v>
      </c>
      <c r="C1146" s="3" t="s">
        <v>5480</v>
      </c>
      <c r="D1146" s="3" t="s">
        <v>14</v>
      </c>
      <c r="E1146" s="3" t="s">
        <v>5481</v>
      </c>
      <c r="F1146" s="3" t="s">
        <v>5482</v>
      </c>
      <c r="G1146" s="3"/>
      <c r="H1146" s="3" t="s">
        <v>5483</v>
      </c>
      <c r="I1146" s="4"/>
      <c r="J1146" s="4">
        <v>465</v>
      </c>
      <c r="K1146" s="4">
        <v>-709</v>
      </c>
      <c r="L1146" s="4">
        <v>-699</v>
      </c>
    </row>
    <row r="1147" spans="1:12" x14ac:dyDescent="0.25">
      <c r="A1147" s="2" t="str">
        <f>HYPERLINK("https://www.list-org.com/company/14531204","https://www.list-org.com/company/14531204")</f>
        <v>https://www.list-org.com/company/14531204</v>
      </c>
      <c r="B1147" s="3" t="s">
        <v>5484</v>
      </c>
      <c r="C1147" s="3" t="s">
        <v>5485</v>
      </c>
      <c r="D1147" s="3" t="s">
        <v>14</v>
      </c>
      <c r="E1147" s="3" t="s">
        <v>5486</v>
      </c>
      <c r="F1147" s="3" t="s">
        <v>5487</v>
      </c>
      <c r="G1147" s="3"/>
      <c r="H1147" s="3" t="s">
        <v>4607</v>
      </c>
      <c r="I1147" s="4"/>
      <c r="J1147" s="4"/>
      <c r="K1147" s="4"/>
      <c r="L1147" s="4"/>
    </row>
    <row r="1148" spans="1:12" x14ac:dyDescent="0.25">
      <c r="A1148" s="2" t="str">
        <f>HYPERLINK("https://www.list-org.com/company/14531318","https://www.list-org.com/company/14531318")</f>
        <v>https://www.list-org.com/company/14531318</v>
      </c>
      <c r="B1148" s="3" t="s">
        <v>5488</v>
      </c>
      <c r="C1148" s="3" t="s">
        <v>5489</v>
      </c>
      <c r="D1148" s="3" t="s">
        <v>14</v>
      </c>
      <c r="E1148" s="3" t="s">
        <v>5490</v>
      </c>
      <c r="F1148" s="3" t="s">
        <v>5491</v>
      </c>
      <c r="G1148" s="3"/>
      <c r="H1148" s="3" t="s">
        <v>5492</v>
      </c>
      <c r="I1148" s="4"/>
      <c r="J1148" s="4"/>
      <c r="K1148" s="4"/>
      <c r="L1148" s="4"/>
    </row>
    <row r="1149" spans="1:12" x14ac:dyDescent="0.25">
      <c r="A1149" s="2" t="str">
        <f>HYPERLINK("https://www.list-org.com/company/14531554","https://www.list-org.com/company/14531554")</f>
        <v>https://www.list-org.com/company/14531554</v>
      </c>
      <c r="B1149" s="3" t="s">
        <v>5493</v>
      </c>
      <c r="C1149" s="3" t="s">
        <v>5494</v>
      </c>
      <c r="D1149" s="3" t="s">
        <v>14</v>
      </c>
      <c r="E1149" s="3" t="s">
        <v>5495</v>
      </c>
      <c r="F1149" s="3" t="s">
        <v>5496</v>
      </c>
      <c r="G1149" s="3"/>
      <c r="H1149" s="3" t="s">
        <v>5497</v>
      </c>
      <c r="I1149" s="4"/>
      <c r="J1149" s="4"/>
      <c r="K1149" s="4"/>
      <c r="L1149" s="4"/>
    </row>
    <row r="1150" spans="1:12" x14ac:dyDescent="0.25">
      <c r="A1150" s="2" t="str">
        <f>HYPERLINK("https://www.list-org.com/company/14531952","https://www.list-org.com/company/14531952")</f>
        <v>https://www.list-org.com/company/14531952</v>
      </c>
      <c r="B1150" s="3" t="s">
        <v>5498</v>
      </c>
      <c r="C1150" s="3" t="s">
        <v>5499</v>
      </c>
      <c r="D1150" s="3" t="s">
        <v>14</v>
      </c>
      <c r="E1150" s="3" t="s">
        <v>5500</v>
      </c>
      <c r="F1150" s="3" t="s">
        <v>5501</v>
      </c>
      <c r="G1150" s="3"/>
      <c r="H1150" s="3" t="s">
        <v>1779</v>
      </c>
      <c r="I1150" s="4"/>
      <c r="J1150" s="4"/>
      <c r="K1150" s="4"/>
      <c r="L1150" s="4"/>
    </row>
    <row r="1151" spans="1:12" x14ac:dyDescent="0.25">
      <c r="A1151" s="2" t="str">
        <f>HYPERLINK("https://www.list-org.com/company/14532387","https://www.list-org.com/company/14532387")</f>
        <v>https://www.list-org.com/company/14532387</v>
      </c>
      <c r="B1151" s="3" t="s">
        <v>5502</v>
      </c>
      <c r="C1151" s="3" t="s">
        <v>5503</v>
      </c>
      <c r="D1151" s="3" t="s">
        <v>14</v>
      </c>
      <c r="E1151" s="3" t="s">
        <v>5504</v>
      </c>
      <c r="F1151" s="3" t="s">
        <v>5505</v>
      </c>
      <c r="G1151" s="3"/>
      <c r="H1151" s="3" t="s">
        <v>5506</v>
      </c>
      <c r="I1151" s="4"/>
      <c r="J1151" s="4"/>
      <c r="K1151" s="4"/>
      <c r="L1151" s="4"/>
    </row>
    <row r="1152" spans="1:12" x14ac:dyDescent="0.25">
      <c r="A1152" s="2" t="str">
        <f>HYPERLINK("https://www.list-org.com/company/14533179","https://www.list-org.com/company/14533179")</f>
        <v>https://www.list-org.com/company/14533179</v>
      </c>
      <c r="B1152" s="3" t="s">
        <v>3420</v>
      </c>
      <c r="C1152" s="3" t="s">
        <v>3421</v>
      </c>
      <c r="D1152" s="3" t="s">
        <v>14</v>
      </c>
      <c r="E1152" s="3" t="s">
        <v>5507</v>
      </c>
      <c r="F1152" s="3" t="s">
        <v>5508</v>
      </c>
      <c r="G1152" s="3"/>
      <c r="H1152" s="3" t="s">
        <v>1624</v>
      </c>
      <c r="I1152" s="4"/>
      <c r="J1152" s="4"/>
      <c r="K1152" s="4"/>
      <c r="L1152" s="4"/>
    </row>
    <row r="1153" spans="1:12" x14ac:dyDescent="0.25">
      <c r="A1153" s="2" t="str">
        <f>HYPERLINK("https://www.list-org.com/company/14533564","https://www.list-org.com/company/14533564")</f>
        <v>https://www.list-org.com/company/14533564</v>
      </c>
      <c r="B1153" s="3" t="s">
        <v>5509</v>
      </c>
      <c r="C1153" s="3" t="s">
        <v>5510</v>
      </c>
      <c r="D1153" s="3" t="s">
        <v>14</v>
      </c>
      <c r="E1153" s="3" t="s">
        <v>5511</v>
      </c>
      <c r="F1153" s="3" t="s">
        <v>5512</v>
      </c>
      <c r="G1153" s="3"/>
      <c r="H1153" s="3" t="s">
        <v>1687</v>
      </c>
      <c r="I1153" s="4"/>
      <c r="J1153" s="4"/>
      <c r="K1153" s="4"/>
      <c r="L1153" s="4"/>
    </row>
    <row r="1154" spans="1:12" x14ac:dyDescent="0.25">
      <c r="A1154" s="2" t="str">
        <f>HYPERLINK("https://www.list-org.com/company/14534342","https://www.list-org.com/company/14534342")</f>
        <v>https://www.list-org.com/company/14534342</v>
      </c>
      <c r="B1154" s="3" t="s">
        <v>5513</v>
      </c>
      <c r="C1154" s="3" t="s">
        <v>5514</v>
      </c>
      <c r="D1154" s="3" t="s">
        <v>14</v>
      </c>
      <c r="E1154" s="3" t="s">
        <v>5515</v>
      </c>
      <c r="F1154" s="3" t="s">
        <v>5516</v>
      </c>
      <c r="G1154" s="3"/>
      <c r="H1154" s="3" t="s">
        <v>5517</v>
      </c>
      <c r="I1154" s="4"/>
      <c r="J1154" s="4"/>
      <c r="K1154" s="4"/>
      <c r="L1154" s="4"/>
    </row>
    <row r="1155" spans="1:12" x14ac:dyDescent="0.25">
      <c r="A1155" s="2" t="str">
        <f>HYPERLINK("https://www.list-org.com/company/14534500","https://www.list-org.com/company/14534500")</f>
        <v>https://www.list-org.com/company/14534500</v>
      </c>
      <c r="B1155" s="3" t="s">
        <v>5518</v>
      </c>
      <c r="C1155" s="3" t="s">
        <v>5519</v>
      </c>
      <c r="D1155" s="3" t="s">
        <v>14</v>
      </c>
      <c r="E1155" s="3" t="s">
        <v>5520</v>
      </c>
      <c r="F1155" s="3" t="s">
        <v>5521</v>
      </c>
      <c r="G1155" s="3"/>
      <c r="H1155" s="3" t="s">
        <v>5522</v>
      </c>
      <c r="I1155" s="4"/>
      <c r="J1155" s="4"/>
      <c r="K1155" s="4"/>
      <c r="L1155" s="4"/>
    </row>
    <row r="1156" spans="1:12" x14ac:dyDescent="0.25">
      <c r="A1156" s="2" t="str">
        <f>HYPERLINK("https://www.list-org.com/company/14535517","https://www.list-org.com/company/14535517")</f>
        <v>https://www.list-org.com/company/14535517</v>
      </c>
      <c r="B1156" s="3" t="s">
        <v>5523</v>
      </c>
      <c r="C1156" s="3" t="s">
        <v>5524</v>
      </c>
      <c r="D1156" s="3" t="s">
        <v>14</v>
      </c>
      <c r="E1156" s="3" t="s">
        <v>5525</v>
      </c>
      <c r="F1156" s="3" t="s">
        <v>5526</v>
      </c>
      <c r="G1156" s="3"/>
      <c r="H1156" s="3" t="s">
        <v>5527</v>
      </c>
      <c r="I1156" s="4"/>
      <c r="J1156" s="4"/>
      <c r="K1156" s="4"/>
      <c r="L1156" s="4"/>
    </row>
    <row r="1157" spans="1:12" x14ac:dyDescent="0.25">
      <c r="A1157" s="2" t="str">
        <f>HYPERLINK("https://www.list-org.com/company/14536509","https://www.list-org.com/company/14536509")</f>
        <v>https://www.list-org.com/company/14536509</v>
      </c>
      <c r="B1157" s="3" t="s">
        <v>5528</v>
      </c>
      <c r="C1157" s="3" t="s">
        <v>5529</v>
      </c>
      <c r="D1157" s="3" t="s">
        <v>14</v>
      </c>
      <c r="E1157" s="3" t="s">
        <v>5530</v>
      </c>
      <c r="F1157" s="3" t="s">
        <v>5531</v>
      </c>
      <c r="G1157" s="3"/>
      <c r="H1157" s="3" t="s">
        <v>5532</v>
      </c>
      <c r="I1157" s="4"/>
      <c r="J1157" s="4"/>
      <c r="K1157" s="4"/>
      <c r="L1157" s="4"/>
    </row>
    <row r="1158" spans="1:12" x14ac:dyDescent="0.25">
      <c r="A1158" s="2" t="str">
        <f>HYPERLINK("https://www.list-org.com/company/14537124","https://www.list-org.com/company/14537124")</f>
        <v>https://www.list-org.com/company/14537124</v>
      </c>
      <c r="B1158" s="3" t="s">
        <v>5533</v>
      </c>
      <c r="C1158" s="3" t="s">
        <v>5534</v>
      </c>
      <c r="D1158" s="3" t="s">
        <v>14</v>
      </c>
      <c r="E1158" s="3" t="s">
        <v>5535</v>
      </c>
      <c r="F1158" s="3" t="s">
        <v>5536</v>
      </c>
      <c r="G1158" s="3"/>
      <c r="H1158" s="3" t="s">
        <v>5537</v>
      </c>
      <c r="I1158" s="4"/>
      <c r="J1158" s="4"/>
      <c r="K1158" s="4"/>
      <c r="L1158" s="4"/>
    </row>
    <row r="1159" spans="1:12" x14ac:dyDescent="0.25">
      <c r="A1159" s="2" t="str">
        <f>HYPERLINK("https://www.list-org.com/company/14537328","https://www.list-org.com/company/14537328")</f>
        <v>https://www.list-org.com/company/14537328</v>
      </c>
      <c r="B1159" s="3" t="s">
        <v>5538</v>
      </c>
      <c r="C1159" s="3" t="s">
        <v>5539</v>
      </c>
      <c r="D1159" s="3" t="s">
        <v>14</v>
      </c>
      <c r="E1159" s="3" t="s">
        <v>5540</v>
      </c>
      <c r="F1159" s="3" t="s">
        <v>5541</v>
      </c>
      <c r="G1159" s="3"/>
      <c r="H1159" s="3" t="s">
        <v>1496</v>
      </c>
      <c r="I1159" s="4"/>
      <c r="J1159" s="4"/>
      <c r="K1159" s="4"/>
      <c r="L1159" s="4"/>
    </row>
    <row r="1160" spans="1:12" x14ac:dyDescent="0.25">
      <c r="A1160" s="2" t="str">
        <f>HYPERLINK("https://www.list-org.com/company/14537525","https://www.list-org.com/company/14537525")</f>
        <v>https://www.list-org.com/company/14537525</v>
      </c>
      <c r="B1160" s="3" t="s">
        <v>5542</v>
      </c>
      <c r="C1160" s="3" t="s">
        <v>5543</v>
      </c>
      <c r="D1160" s="3" t="s">
        <v>14</v>
      </c>
      <c r="E1160" s="3" t="s">
        <v>5544</v>
      </c>
      <c r="F1160" s="3" t="s">
        <v>5545</v>
      </c>
      <c r="G1160" s="3"/>
      <c r="H1160" s="3" t="s">
        <v>5546</v>
      </c>
      <c r="I1160" s="4"/>
      <c r="J1160" s="4"/>
      <c r="K1160" s="4"/>
      <c r="L1160" s="4"/>
    </row>
    <row r="1161" spans="1:12" x14ac:dyDescent="0.25">
      <c r="A1161" s="2" t="str">
        <f>HYPERLINK("https://www.list-org.com/company/14537779","https://www.list-org.com/company/14537779")</f>
        <v>https://www.list-org.com/company/14537779</v>
      </c>
      <c r="B1161" s="3" t="s">
        <v>5547</v>
      </c>
      <c r="C1161" s="3" t="s">
        <v>5548</v>
      </c>
      <c r="D1161" s="3" t="s">
        <v>14</v>
      </c>
      <c r="E1161" s="3" t="s">
        <v>5549</v>
      </c>
      <c r="F1161" s="3" t="s">
        <v>5550</v>
      </c>
      <c r="G1161" s="3"/>
      <c r="H1161" s="3" t="s">
        <v>5551</v>
      </c>
      <c r="I1161" s="4"/>
      <c r="J1161" s="4"/>
      <c r="K1161" s="4"/>
      <c r="L1161" s="4"/>
    </row>
    <row r="1162" spans="1:12" x14ac:dyDescent="0.25">
      <c r="A1162" s="2" t="str">
        <f>HYPERLINK("https://www.list-org.com/company/14539266","https://www.list-org.com/company/14539266")</f>
        <v>https://www.list-org.com/company/14539266</v>
      </c>
      <c r="B1162" s="3" t="s">
        <v>5552</v>
      </c>
      <c r="C1162" s="3" t="s">
        <v>5553</v>
      </c>
      <c r="D1162" s="3" t="s">
        <v>14</v>
      </c>
      <c r="E1162" s="3" t="s">
        <v>5554</v>
      </c>
      <c r="F1162" s="3" t="s">
        <v>5555</v>
      </c>
      <c r="G1162" s="3"/>
      <c r="H1162" s="3" t="s">
        <v>5556</v>
      </c>
      <c r="I1162" s="4"/>
      <c r="J1162" s="4"/>
      <c r="K1162" s="4"/>
      <c r="L1162" s="4"/>
    </row>
    <row r="1163" spans="1:12" x14ac:dyDescent="0.25">
      <c r="A1163" s="2" t="str">
        <f>HYPERLINK("https://www.list-org.com/company/14540294","https://www.list-org.com/company/14540294")</f>
        <v>https://www.list-org.com/company/14540294</v>
      </c>
      <c r="B1163" s="3" t="s">
        <v>5557</v>
      </c>
      <c r="C1163" s="3" t="s">
        <v>5558</v>
      </c>
      <c r="D1163" s="3" t="s">
        <v>14</v>
      </c>
      <c r="E1163" s="3" t="s">
        <v>5559</v>
      </c>
      <c r="F1163" s="3" t="s">
        <v>5560</v>
      </c>
      <c r="G1163" s="3"/>
      <c r="H1163" s="3" t="s">
        <v>5561</v>
      </c>
      <c r="I1163" s="4"/>
      <c r="J1163" s="4"/>
      <c r="K1163" s="4"/>
      <c r="L1163" s="4"/>
    </row>
    <row r="1164" spans="1:12" x14ac:dyDescent="0.25">
      <c r="A1164" s="2" t="str">
        <f>HYPERLINK("https://www.list-org.com/company/14541042","https://www.list-org.com/company/14541042")</f>
        <v>https://www.list-org.com/company/14541042</v>
      </c>
      <c r="B1164" s="3" t="s">
        <v>5562</v>
      </c>
      <c r="C1164" s="3" t="s">
        <v>5563</v>
      </c>
      <c r="D1164" s="3" t="s">
        <v>14</v>
      </c>
      <c r="E1164" s="3" t="s">
        <v>5564</v>
      </c>
      <c r="F1164" s="3" t="s">
        <v>5565</v>
      </c>
      <c r="G1164" s="3"/>
      <c r="H1164" s="3" t="s">
        <v>5566</v>
      </c>
      <c r="I1164" s="4"/>
      <c r="J1164" s="4"/>
      <c r="K1164" s="4"/>
      <c r="L1164" s="4"/>
    </row>
    <row r="1165" spans="1:12" x14ac:dyDescent="0.25">
      <c r="A1165" s="2" t="str">
        <f>HYPERLINK("https://www.list-org.com/company/14541051","https://www.list-org.com/company/14541051")</f>
        <v>https://www.list-org.com/company/14541051</v>
      </c>
      <c r="B1165" s="3" t="s">
        <v>5567</v>
      </c>
      <c r="C1165" s="3" t="s">
        <v>5568</v>
      </c>
      <c r="D1165" s="3" t="s">
        <v>14</v>
      </c>
      <c r="E1165" s="3" t="s">
        <v>5569</v>
      </c>
      <c r="F1165" s="3" t="s">
        <v>5570</v>
      </c>
      <c r="G1165" s="3"/>
      <c r="H1165" s="3" t="s">
        <v>1496</v>
      </c>
      <c r="I1165" s="4"/>
      <c r="J1165" s="4"/>
      <c r="K1165" s="4"/>
      <c r="L1165" s="4"/>
    </row>
    <row r="1166" spans="1:12" x14ac:dyDescent="0.25">
      <c r="A1166" s="2" t="str">
        <f>HYPERLINK("https://www.list-org.com/company/14541963","https://www.list-org.com/company/14541963")</f>
        <v>https://www.list-org.com/company/14541963</v>
      </c>
      <c r="B1166" s="3" t="s">
        <v>5571</v>
      </c>
      <c r="C1166" s="3" t="s">
        <v>5572</v>
      </c>
      <c r="D1166" s="3" t="s">
        <v>14</v>
      </c>
      <c r="E1166" s="3" t="s">
        <v>5573</v>
      </c>
      <c r="F1166" s="3" t="s">
        <v>5574</v>
      </c>
      <c r="G1166" s="3"/>
      <c r="H1166" s="3" t="s">
        <v>1329</v>
      </c>
      <c r="I1166" s="4"/>
      <c r="J1166" s="4"/>
      <c r="K1166" s="4"/>
      <c r="L1166" s="4"/>
    </row>
    <row r="1167" spans="1:12" x14ac:dyDescent="0.25">
      <c r="A1167" s="2" t="str">
        <f>HYPERLINK("https://www.list-org.com/company/14542878","https://www.list-org.com/company/14542878")</f>
        <v>https://www.list-org.com/company/14542878</v>
      </c>
      <c r="B1167" s="3" t="s">
        <v>5575</v>
      </c>
      <c r="C1167" s="3" t="s">
        <v>5576</v>
      </c>
      <c r="D1167" s="3" t="s">
        <v>14</v>
      </c>
      <c r="E1167" s="3" t="s">
        <v>5577</v>
      </c>
      <c r="F1167" s="3" t="s">
        <v>5578</v>
      </c>
      <c r="G1167" s="3"/>
      <c r="H1167" s="3" t="s">
        <v>5579</v>
      </c>
      <c r="I1167" s="4"/>
      <c r="J1167" s="4"/>
      <c r="K1167" s="4"/>
      <c r="L1167" s="4"/>
    </row>
    <row r="1168" spans="1:12" x14ac:dyDescent="0.25">
      <c r="A1168" s="2" t="str">
        <f>HYPERLINK("https://www.list-org.com/company/14542941","https://www.list-org.com/company/14542941")</f>
        <v>https://www.list-org.com/company/14542941</v>
      </c>
      <c r="B1168" s="3" t="s">
        <v>5580</v>
      </c>
      <c r="C1168" s="3" t="s">
        <v>5581</v>
      </c>
      <c r="D1168" s="3" t="s">
        <v>14</v>
      </c>
      <c r="E1168" s="3" t="s">
        <v>5582</v>
      </c>
      <c r="F1168" s="3" t="s">
        <v>5583</v>
      </c>
      <c r="G1168" s="3"/>
      <c r="H1168" s="3" t="s">
        <v>5584</v>
      </c>
      <c r="I1168" s="4"/>
      <c r="J1168" s="4"/>
      <c r="K1168" s="4"/>
      <c r="L1168" s="4"/>
    </row>
    <row r="1169" spans="1:12" x14ac:dyDescent="0.25">
      <c r="A1169" s="2" t="str">
        <f>HYPERLINK("https://www.list-org.com/company/14543298","https://www.list-org.com/company/14543298")</f>
        <v>https://www.list-org.com/company/14543298</v>
      </c>
      <c r="B1169" s="3" t="s">
        <v>5585</v>
      </c>
      <c r="C1169" s="3" t="s">
        <v>5586</v>
      </c>
      <c r="D1169" s="3" t="s">
        <v>14</v>
      </c>
      <c r="E1169" s="3" t="s">
        <v>5587</v>
      </c>
      <c r="F1169" s="3" t="s">
        <v>5588</v>
      </c>
      <c r="G1169" s="3"/>
      <c r="H1169" s="3" t="s">
        <v>5589</v>
      </c>
      <c r="I1169" s="4"/>
      <c r="J1169" s="4"/>
      <c r="K1169" s="4"/>
      <c r="L1169" s="4"/>
    </row>
    <row r="1170" spans="1:12" x14ac:dyDescent="0.25">
      <c r="A1170" s="2" t="str">
        <f>HYPERLINK("https://www.list-org.com/company/14543300","https://www.list-org.com/company/14543300")</f>
        <v>https://www.list-org.com/company/14543300</v>
      </c>
      <c r="B1170" s="3" t="s">
        <v>5590</v>
      </c>
      <c r="C1170" s="3" t="s">
        <v>5591</v>
      </c>
      <c r="D1170" s="3" t="s">
        <v>14</v>
      </c>
      <c r="E1170" s="3" t="s">
        <v>5592</v>
      </c>
      <c r="F1170" s="3" t="s">
        <v>5593</v>
      </c>
      <c r="G1170" s="3"/>
      <c r="H1170" s="3" t="s">
        <v>4136</v>
      </c>
      <c r="I1170" s="4"/>
      <c r="J1170" s="4"/>
      <c r="K1170" s="4"/>
      <c r="L1170" s="4"/>
    </row>
    <row r="1171" spans="1:12" x14ac:dyDescent="0.25">
      <c r="A1171" s="2" t="str">
        <f>HYPERLINK("https://www.list-org.com/company/14544020","https://www.list-org.com/company/14544020")</f>
        <v>https://www.list-org.com/company/14544020</v>
      </c>
      <c r="B1171" s="3" t="s">
        <v>5594</v>
      </c>
      <c r="C1171" s="3" t="s">
        <v>5595</v>
      </c>
      <c r="D1171" s="3" t="s">
        <v>14</v>
      </c>
      <c r="E1171" s="3" t="s">
        <v>5596</v>
      </c>
      <c r="F1171" s="3" t="s">
        <v>5597</v>
      </c>
      <c r="G1171" s="3"/>
      <c r="H1171" s="3" t="s">
        <v>5598</v>
      </c>
      <c r="I1171" s="4"/>
      <c r="J1171" s="4"/>
      <c r="K1171" s="4"/>
      <c r="L1171" s="4"/>
    </row>
    <row r="1172" spans="1:12" x14ac:dyDescent="0.25">
      <c r="A1172" s="2" t="str">
        <f>HYPERLINK("https://www.list-org.com/company/14544649","https://www.list-org.com/company/14544649")</f>
        <v>https://www.list-org.com/company/14544649</v>
      </c>
      <c r="B1172" s="3" t="s">
        <v>5599</v>
      </c>
      <c r="C1172" s="3" t="s">
        <v>5600</v>
      </c>
      <c r="D1172" s="3" t="s">
        <v>14</v>
      </c>
      <c r="E1172" s="3" t="s">
        <v>5601</v>
      </c>
      <c r="F1172" s="3" t="s">
        <v>5602</v>
      </c>
      <c r="G1172" s="3"/>
      <c r="H1172" s="3" t="s">
        <v>5603</v>
      </c>
      <c r="I1172" s="4"/>
      <c r="J1172" s="4"/>
      <c r="K1172" s="4"/>
      <c r="L1172" s="4"/>
    </row>
    <row r="1173" spans="1:12" x14ac:dyDescent="0.25">
      <c r="A1173" s="2" t="str">
        <f>HYPERLINK("https://www.list-org.com/company/14545819","https://www.list-org.com/company/14545819")</f>
        <v>https://www.list-org.com/company/14545819</v>
      </c>
      <c r="B1173" s="3" t="s">
        <v>5604</v>
      </c>
      <c r="C1173" s="3" t="s">
        <v>5605</v>
      </c>
      <c r="D1173" s="3" t="s">
        <v>14</v>
      </c>
      <c r="E1173" s="3" t="s">
        <v>5606</v>
      </c>
      <c r="F1173" s="3" t="s">
        <v>5607</v>
      </c>
      <c r="G1173" s="3"/>
      <c r="H1173" s="3" t="s">
        <v>5608</v>
      </c>
      <c r="I1173" s="4"/>
      <c r="J1173" s="4"/>
      <c r="K1173" s="4"/>
      <c r="L1173" s="4"/>
    </row>
    <row r="1174" spans="1:12" x14ac:dyDescent="0.25">
      <c r="A1174" s="2" t="str">
        <f>HYPERLINK("https://www.list-org.com/company/14547196","https://www.list-org.com/company/14547196")</f>
        <v>https://www.list-org.com/company/14547196</v>
      </c>
      <c r="B1174" s="3" t="s">
        <v>5609</v>
      </c>
      <c r="C1174" s="3" t="s">
        <v>5610</v>
      </c>
      <c r="D1174" s="3" t="s">
        <v>14</v>
      </c>
      <c r="E1174" s="3" t="s">
        <v>5611</v>
      </c>
      <c r="F1174" s="3" t="s">
        <v>5612</v>
      </c>
      <c r="G1174" s="3"/>
      <c r="H1174" s="3" t="s">
        <v>5613</v>
      </c>
      <c r="I1174" s="4"/>
      <c r="J1174" s="4"/>
      <c r="K1174" s="4"/>
      <c r="L1174" s="4"/>
    </row>
    <row r="1175" spans="1:12" x14ac:dyDescent="0.25">
      <c r="A1175" s="2" t="str">
        <f>HYPERLINK("https://www.list-org.com/company/14548164","https://www.list-org.com/company/14548164")</f>
        <v>https://www.list-org.com/company/14548164</v>
      </c>
      <c r="B1175" s="3" t="s">
        <v>5614</v>
      </c>
      <c r="C1175" s="3" t="s">
        <v>5615</v>
      </c>
      <c r="D1175" s="3" t="s">
        <v>14</v>
      </c>
      <c r="E1175" s="3" t="s">
        <v>5616</v>
      </c>
      <c r="F1175" s="3" t="s">
        <v>5617</v>
      </c>
      <c r="G1175" s="3"/>
      <c r="H1175" s="3" t="s">
        <v>5618</v>
      </c>
      <c r="I1175" s="4"/>
      <c r="J1175" s="4"/>
      <c r="K1175" s="4"/>
      <c r="L1175" s="4"/>
    </row>
    <row r="1176" spans="1:12" x14ac:dyDescent="0.25">
      <c r="A1176" s="2" t="str">
        <f>HYPERLINK("https://www.list-org.com/company/14548701","https://www.list-org.com/company/14548701")</f>
        <v>https://www.list-org.com/company/14548701</v>
      </c>
      <c r="B1176" s="3" t="s">
        <v>5619</v>
      </c>
      <c r="C1176" s="3" t="s">
        <v>5620</v>
      </c>
      <c r="D1176" s="3" t="s">
        <v>14</v>
      </c>
      <c r="E1176" s="3" t="s">
        <v>5621</v>
      </c>
      <c r="F1176" s="3" t="s">
        <v>5622</v>
      </c>
      <c r="G1176" s="3"/>
      <c r="H1176" s="3" t="s">
        <v>5623</v>
      </c>
      <c r="I1176" s="4"/>
      <c r="J1176" s="4"/>
      <c r="K1176" s="4"/>
      <c r="L1176" s="4"/>
    </row>
    <row r="1177" spans="1:12" x14ac:dyDescent="0.25">
      <c r="A1177" s="2" t="str">
        <f>HYPERLINK("https://www.list-org.com/company/14549262","https://www.list-org.com/company/14549262")</f>
        <v>https://www.list-org.com/company/14549262</v>
      </c>
      <c r="B1177" s="3" t="s">
        <v>5624</v>
      </c>
      <c r="C1177" s="3" t="s">
        <v>5625</v>
      </c>
      <c r="D1177" s="3" t="s">
        <v>14</v>
      </c>
      <c r="E1177" s="3" t="s">
        <v>5626</v>
      </c>
      <c r="F1177" s="3" t="s">
        <v>5627</v>
      </c>
      <c r="G1177" s="3"/>
      <c r="H1177" s="3" t="s">
        <v>5628</v>
      </c>
      <c r="I1177" s="4"/>
      <c r="J1177" s="4"/>
      <c r="K1177" s="4"/>
      <c r="L1177" s="4"/>
    </row>
    <row r="1178" spans="1:12" x14ac:dyDescent="0.25">
      <c r="A1178" s="2" t="str">
        <f>HYPERLINK("https://www.list-org.com/company/14549265","https://www.list-org.com/company/14549265")</f>
        <v>https://www.list-org.com/company/14549265</v>
      </c>
      <c r="B1178" s="3" t="s">
        <v>5629</v>
      </c>
      <c r="C1178" s="3" t="s">
        <v>5630</v>
      </c>
      <c r="D1178" s="3" t="s">
        <v>14</v>
      </c>
      <c r="E1178" s="3" t="s">
        <v>5631</v>
      </c>
      <c r="F1178" s="3" t="s">
        <v>5632</v>
      </c>
      <c r="G1178" s="3"/>
      <c r="H1178" s="3" t="s">
        <v>5633</v>
      </c>
      <c r="I1178" s="4"/>
      <c r="J1178" s="4"/>
      <c r="K1178" s="4"/>
      <c r="L1178" s="4">
        <v>10</v>
      </c>
    </row>
    <row r="1179" spans="1:12" x14ac:dyDescent="0.25">
      <c r="A1179" s="2" t="str">
        <f>HYPERLINK("https://www.list-org.com/company/14549374","https://www.list-org.com/company/14549374")</f>
        <v>https://www.list-org.com/company/14549374</v>
      </c>
      <c r="B1179" s="3" t="s">
        <v>5634</v>
      </c>
      <c r="C1179" s="3" t="s">
        <v>5635</v>
      </c>
      <c r="D1179" s="3" t="s">
        <v>14</v>
      </c>
      <c r="E1179" s="3" t="s">
        <v>5636</v>
      </c>
      <c r="F1179" s="3" t="s">
        <v>5637</v>
      </c>
      <c r="G1179" s="3"/>
      <c r="H1179" s="3" t="s">
        <v>5130</v>
      </c>
      <c r="I1179" s="4"/>
      <c r="J1179" s="4"/>
      <c r="K1179" s="4"/>
      <c r="L1179" s="4"/>
    </row>
    <row r="1180" spans="1:12" x14ac:dyDescent="0.25">
      <c r="A1180" s="2" t="str">
        <f>HYPERLINK("https://www.list-org.com/company/14549547","https://www.list-org.com/company/14549547")</f>
        <v>https://www.list-org.com/company/14549547</v>
      </c>
      <c r="B1180" s="3" t="s">
        <v>5638</v>
      </c>
      <c r="C1180" s="3" t="s">
        <v>5639</v>
      </c>
      <c r="D1180" s="3" t="s">
        <v>14</v>
      </c>
      <c r="E1180" s="3" t="s">
        <v>5640</v>
      </c>
      <c r="F1180" s="3" t="s">
        <v>5641</v>
      </c>
      <c r="G1180" s="3"/>
      <c r="H1180" s="3" t="s">
        <v>5642</v>
      </c>
      <c r="I1180" s="4"/>
      <c r="J1180" s="4"/>
      <c r="K1180" s="4"/>
      <c r="L1180" s="4"/>
    </row>
    <row r="1181" spans="1:12" x14ac:dyDescent="0.25">
      <c r="A1181" s="2" t="str">
        <f>HYPERLINK("https://www.list-org.com/company/14551002","https://www.list-org.com/company/14551002")</f>
        <v>https://www.list-org.com/company/14551002</v>
      </c>
      <c r="B1181" s="3" t="s">
        <v>5643</v>
      </c>
      <c r="C1181" s="3" t="s">
        <v>5644</v>
      </c>
      <c r="D1181" s="3" t="s">
        <v>14</v>
      </c>
      <c r="E1181" s="3" t="s">
        <v>5645</v>
      </c>
      <c r="F1181" s="3" t="s">
        <v>5646</v>
      </c>
      <c r="G1181" s="3"/>
      <c r="H1181" s="3" t="s">
        <v>5647</v>
      </c>
      <c r="I1181" s="4"/>
      <c r="J1181" s="4"/>
      <c r="K1181" s="4"/>
      <c r="L1181" s="4"/>
    </row>
    <row r="1182" spans="1:12" x14ac:dyDescent="0.25">
      <c r="A1182" s="2" t="str">
        <f>HYPERLINK("https://www.list-org.com/company/14551043","https://www.list-org.com/company/14551043")</f>
        <v>https://www.list-org.com/company/14551043</v>
      </c>
      <c r="B1182" s="3" t="s">
        <v>5648</v>
      </c>
      <c r="C1182" s="3" t="s">
        <v>5649</v>
      </c>
      <c r="D1182" s="3" t="s">
        <v>14</v>
      </c>
      <c r="E1182" s="3" t="s">
        <v>5650</v>
      </c>
      <c r="F1182" s="3" t="s">
        <v>5651</v>
      </c>
      <c r="G1182" s="3"/>
      <c r="H1182" s="3" t="s">
        <v>5652</v>
      </c>
      <c r="I1182" s="4"/>
      <c r="J1182" s="4"/>
      <c r="K1182" s="4"/>
      <c r="L1182" s="4"/>
    </row>
    <row r="1183" spans="1:12" x14ac:dyDescent="0.25">
      <c r="A1183" s="2" t="str">
        <f>HYPERLINK("https://www.list-org.com/company/14551746","https://www.list-org.com/company/14551746")</f>
        <v>https://www.list-org.com/company/14551746</v>
      </c>
      <c r="B1183" s="3" t="s">
        <v>5653</v>
      </c>
      <c r="C1183" s="3" t="s">
        <v>5654</v>
      </c>
      <c r="D1183" s="3" t="s">
        <v>14</v>
      </c>
      <c r="E1183" s="3" t="s">
        <v>5655</v>
      </c>
      <c r="F1183" s="3" t="s">
        <v>5656</v>
      </c>
      <c r="G1183" s="3"/>
      <c r="H1183" s="3" t="s">
        <v>5657</v>
      </c>
      <c r="I1183" s="4"/>
      <c r="J1183" s="4"/>
      <c r="K1183" s="4"/>
      <c r="L1183" s="4"/>
    </row>
    <row r="1184" spans="1:12" x14ac:dyDescent="0.25">
      <c r="A1184" s="2" t="str">
        <f>HYPERLINK("https://www.list-org.com/company/14551899","https://www.list-org.com/company/14551899")</f>
        <v>https://www.list-org.com/company/14551899</v>
      </c>
      <c r="B1184" s="3" t="s">
        <v>5658</v>
      </c>
      <c r="C1184" s="3" t="s">
        <v>5659</v>
      </c>
      <c r="D1184" s="3" t="s">
        <v>14</v>
      </c>
      <c r="E1184" s="3" t="s">
        <v>5660</v>
      </c>
      <c r="F1184" s="3" t="s">
        <v>5661</v>
      </c>
      <c r="G1184" s="3"/>
      <c r="H1184" s="3" t="s">
        <v>5662</v>
      </c>
      <c r="I1184" s="4"/>
      <c r="J1184" s="4"/>
      <c r="K1184" s="4"/>
      <c r="L1184" s="4"/>
    </row>
    <row r="1185" spans="1:12" x14ac:dyDescent="0.25">
      <c r="A1185" s="2" t="str">
        <f>HYPERLINK("https://www.list-org.com/company/14552053","https://www.list-org.com/company/14552053")</f>
        <v>https://www.list-org.com/company/14552053</v>
      </c>
      <c r="B1185" s="3" t="s">
        <v>5663</v>
      </c>
      <c r="C1185" s="3" t="s">
        <v>5664</v>
      </c>
      <c r="D1185" s="3" t="s">
        <v>14</v>
      </c>
      <c r="E1185" s="3" t="s">
        <v>5665</v>
      </c>
      <c r="F1185" s="3" t="s">
        <v>5666</v>
      </c>
      <c r="G1185" s="3"/>
      <c r="H1185" s="3" t="s">
        <v>5667</v>
      </c>
      <c r="I1185" s="4"/>
      <c r="J1185" s="4"/>
      <c r="K1185" s="4"/>
      <c r="L1185" s="4"/>
    </row>
    <row r="1186" spans="1:12" x14ac:dyDescent="0.25">
      <c r="A1186" s="2" t="str">
        <f>HYPERLINK("https://www.list-org.com/company/14552902","https://www.list-org.com/company/14552902")</f>
        <v>https://www.list-org.com/company/14552902</v>
      </c>
      <c r="B1186" s="3" t="s">
        <v>5668</v>
      </c>
      <c r="C1186" s="3" t="s">
        <v>5669</v>
      </c>
      <c r="D1186" s="3" t="s">
        <v>14</v>
      </c>
      <c r="E1186" s="3" t="s">
        <v>5670</v>
      </c>
      <c r="F1186" s="3" t="s">
        <v>5671</v>
      </c>
      <c r="G1186" s="3"/>
      <c r="H1186" s="3" t="s">
        <v>5672</v>
      </c>
      <c r="I1186" s="4"/>
      <c r="J1186" s="4"/>
      <c r="K1186" s="4"/>
      <c r="L1186" s="4"/>
    </row>
    <row r="1187" spans="1:12" x14ac:dyDescent="0.25">
      <c r="A1187" s="2" t="str">
        <f>HYPERLINK("https://www.list-org.com/company/14553376","https://www.list-org.com/company/14553376")</f>
        <v>https://www.list-org.com/company/14553376</v>
      </c>
      <c r="B1187" s="3" t="s">
        <v>5673</v>
      </c>
      <c r="C1187" s="3" t="s">
        <v>5674</v>
      </c>
      <c r="D1187" s="3" t="s">
        <v>14</v>
      </c>
      <c r="E1187" s="3" t="s">
        <v>5675</v>
      </c>
      <c r="F1187" s="3" t="s">
        <v>5676</v>
      </c>
      <c r="G1187" s="3"/>
      <c r="H1187" s="3" t="s">
        <v>4641</v>
      </c>
      <c r="I1187" s="4"/>
      <c r="J1187" s="4"/>
      <c r="K1187" s="4"/>
      <c r="L1187" s="4">
        <v>10000</v>
      </c>
    </row>
    <row r="1188" spans="1:12" x14ac:dyDescent="0.25">
      <c r="A1188" s="2" t="str">
        <f>HYPERLINK("https://www.list-org.com/company/14553591","https://www.list-org.com/company/14553591")</f>
        <v>https://www.list-org.com/company/14553591</v>
      </c>
      <c r="B1188" s="3" t="s">
        <v>5677</v>
      </c>
      <c r="C1188" s="3" t="s">
        <v>5678</v>
      </c>
      <c r="D1188" s="3" t="s">
        <v>14</v>
      </c>
      <c r="E1188" s="3" t="s">
        <v>5679</v>
      </c>
      <c r="F1188" s="3" t="s">
        <v>5680</v>
      </c>
      <c r="G1188" s="3"/>
      <c r="H1188" s="3" t="s">
        <v>5681</v>
      </c>
      <c r="I1188" s="4"/>
      <c r="J1188" s="4"/>
      <c r="K1188" s="4"/>
      <c r="L1188" s="4"/>
    </row>
    <row r="1189" spans="1:12" x14ac:dyDescent="0.25">
      <c r="A1189" s="2" t="str">
        <f>HYPERLINK("https://www.list-org.com/company/14553708","https://www.list-org.com/company/14553708")</f>
        <v>https://www.list-org.com/company/14553708</v>
      </c>
      <c r="B1189" s="3" t="s">
        <v>5682</v>
      </c>
      <c r="C1189" s="3" t="s">
        <v>5683</v>
      </c>
      <c r="D1189" s="3" t="s">
        <v>14</v>
      </c>
      <c r="E1189" s="3" t="s">
        <v>5684</v>
      </c>
      <c r="F1189" s="3" t="s">
        <v>5685</v>
      </c>
      <c r="G1189" s="3"/>
      <c r="H1189" s="3" t="s">
        <v>5686</v>
      </c>
      <c r="I1189" s="4"/>
      <c r="J1189" s="4"/>
      <c r="K1189" s="4"/>
      <c r="L1189" s="4"/>
    </row>
    <row r="1190" spans="1:12" x14ac:dyDescent="0.25">
      <c r="A1190" s="2" t="str">
        <f>HYPERLINK("https://www.list-org.com/company/14553862","https://www.list-org.com/company/14553862")</f>
        <v>https://www.list-org.com/company/14553862</v>
      </c>
      <c r="B1190" s="3" t="s">
        <v>5687</v>
      </c>
      <c r="C1190" s="3" t="s">
        <v>5688</v>
      </c>
      <c r="D1190" s="3" t="s">
        <v>14</v>
      </c>
      <c r="E1190" s="3" t="s">
        <v>5689</v>
      </c>
      <c r="F1190" s="3" t="s">
        <v>5690</v>
      </c>
      <c r="G1190" s="3"/>
      <c r="H1190" s="3" t="s">
        <v>1251</v>
      </c>
      <c r="I1190" s="4"/>
      <c r="J1190" s="4"/>
      <c r="K1190" s="4"/>
      <c r="L1190" s="4"/>
    </row>
    <row r="1191" spans="1:12" x14ac:dyDescent="0.25">
      <c r="A1191" s="2" t="str">
        <f>HYPERLINK("https://www.list-org.com/company/14554680","https://www.list-org.com/company/14554680")</f>
        <v>https://www.list-org.com/company/14554680</v>
      </c>
      <c r="B1191" s="3" t="s">
        <v>5691</v>
      </c>
      <c r="C1191" s="3" t="s">
        <v>5692</v>
      </c>
      <c r="D1191" s="3" t="s">
        <v>14</v>
      </c>
      <c r="E1191" s="3" t="s">
        <v>5693</v>
      </c>
      <c r="F1191" s="3" t="s">
        <v>5694</v>
      </c>
      <c r="G1191" s="3"/>
      <c r="H1191" s="3" t="s">
        <v>5695</v>
      </c>
      <c r="I1191" s="4"/>
      <c r="J1191" s="4"/>
      <c r="K1191" s="4"/>
      <c r="L1191" s="4"/>
    </row>
    <row r="1192" spans="1:12" x14ac:dyDescent="0.25">
      <c r="A1192" s="2" t="str">
        <f>HYPERLINK("https://www.list-org.com/company/14554945","https://www.list-org.com/company/14554945")</f>
        <v>https://www.list-org.com/company/14554945</v>
      </c>
      <c r="B1192" s="3" t="s">
        <v>5696</v>
      </c>
      <c r="C1192" s="3" t="s">
        <v>5697</v>
      </c>
      <c r="D1192" s="3" t="s">
        <v>14</v>
      </c>
      <c r="E1192" s="3" t="s">
        <v>5698</v>
      </c>
      <c r="F1192" s="3" t="s">
        <v>5699</v>
      </c>
      <c r="G1192" s="3"/>
      <c r="H1192" s="3" t="s">
        <v>5700</v>
      </c>
      <c r="I1192" s="4"/>
      <c r="J1192" s="4"/>
      <c r="K1192" s="4"/>
      <c r="L1192" s="4"/>
    </row>
    <row r="1193" spans="1:12" x14ac:dyDescent="0.25">
      <c r="A1193" s="2" t="str">
        <f>HYPERLINK("https://www.list-org.com/company/14555005","https://www.list-org.com/company/14555005")</f>
        <v>https://www.list-org.com/company/14555005</v>
      </c>
      <c r="B1193" s="3" t="s">
        <v>5701</v>
      </c>
      <c r="C1193" s="3" t="s">
        <v>5701</v>
      </c>
      <c r="D1193" s="3" t="s">
        <v>14</v>
      </c>
      <c r="E1193" s="3" t="s">
        <v>5702</v>
      </c>
      <c r="F1193" s="3" t="s">
        <v>5703</v>
      </c>
      <c r="G1193" s="3"/>
      <c r="H1193" s="3" t="s">
        <v>5704</v>
      </c>
      <c r="I1193" s="4"/>
      <c r="J1193" s="4"/>
      <c r="K1193" s="4"/>
      <c r="L1193" s="4"/>
    </row>
    <row r="1194" spans="1:12" x14ac:dyDescent="0.25">
      <c r="A1194" s="2" t="str">
        <f>HYPERLINK("https://www.list-org.com/company/14555258","https://www.list-org.com/company/14555258")</f>
        <v>https://www.list-org.com/company/14555258</v>
      </c>
      <c r="B1194" s="3" t="s">
        <v>5705</v>
      </c>
      <c r="C1194" s="3" t="s">
        <v>5706</v>
      </c>
      <c r="D1194" s="3" t="s">
        <v>14</v>
      </c>
      <c r="E1194" s="3" t="s">
        <v>5707</v>
      </c>
      <c r="F1194" s="3" t="s">
        <v>5708</v>
      </c>
      <c r="G1194" s="3"/>
      <c r="H1194" s="3" t="s">
        <v>5709</v>
      </c>
      <c r="I1194" s="4"/>
      <c r="J1194" s="4"/>
      <c r="K1194" s="4"/>
      <c r="L1194" s="4"/>
    </row>
    <row r="1195" spans="1:12" x14ac:dyDescent="0.25">
      <c r="A1195" s="2" t="str">
        <f>HYPERLINK("https://www.list-org.com/company/14555836","https://www.list-org.com/company/14555836")</f>
        <v>https://www.list-org.com/company/14555836</v>
      </c>
      <c r="B1195" s="3" t="s">
        <v>5710</v>
      </c>
      <c r="C1195" s="3" t="s">
        <v>5711</v>
      </c>
      <c r="D1195" s="3" t="s">
        <v>14</v>
      </c>
      <c r="E1195" s="3" t="s">
        <v>5712</v>
      </c>
      <c r="F1195" s="3" t="s">
        <v>5713</v>
      </c>
      <c r="G1195" s="3"/>
      <c r="H1195" s="3" t="s">
        <v>5714</v>
      </c>
      <c r="I1195" s="4"/>
      <c r="J1195" s="4"/>
      <c r="K1195" s="4"/>
      <c r="L1195" s="4"/>
    </row>
    <row r="1196" spans="1:12" x14ac:dyDescent="0.25">
      <c r="A1196" s="2" t="str">
        <f>HYPERLINK("https://www.list-org.com/company/14555844","https://www.list-org.com/company/14555844")</f>
        <v>https://www.list-org.com/company/14555844</v>
      </c>
      <c r="B1196" s="3" t="s">
        <v>5715</v>
      </c>
      <c r="C1196" s="3" t="s">
        <v>5716</v>
      </c>
      <c r="D1196" s="3" t="s">
        <v>14</v>
      </c>
      <c r="E1196" s="3" t="s">
        <v>5717</v>
      </c>
      <c r="F1196" s="3" t="s">
        <v>5718</v>
      </c>
      <c r="G1196" s="3"/>
      <c r="H1196" s="3" t="s">
        <v>4476</v>
      </c>
      <c r="I1196" s="4"/>
      <c r="J1196" s="4"/>
      <c r="K1196" s="4"/>
      <c r="L1196" s="4"/>
    </row>
    <row r="1197" spans="1:12" x14ac:dyDescent="0.25">
      <c r="A1197" s="2" t="str">
        <f>HYPERLINK("https://www.list-org.com/company/14555990","https://www.list-org.com/company/14555990")</f>
        <v>https://www.list-org.com/company/14555990</v>
      </c>
      <c r="B1197" s="3" t="s">
        <v>5719</v>
      </c>
      <c r="C1197" s="3" t="s">
        <v>5720</v>
      </c>
      <c r="D1197" s="3" t="s">
        <v>14</v>
      </c>
      <c r="E1197" s="3" t="s">
        <v>5721</v>
      </c>
      <c r="F1197" s="3" t="s">
        <v>5722</v>
      </c>
      <c r="G1197" s="3"/>
      <c r="H1197" s="3" t="s">
        <v>5723</v>
      </c>
      <c r="I1197" s="4"/>
      <c r="J1197" s="4"/>
      <c r="K1197" s="4"/>
      <c r="L1197" s="4"/>
    </row>
    <row r="1198" spans="1:12" x14ac:dyDescent="0.25">
      <c r="A1198" s="2" t="str">
        <f>HYPERLINK("https://www.list-org.com/company/14557114","https://www.list-org.com/company/14557114")</f>
        <v>https://www.list-org.com/company/14557114</v>
      </c>
      <c r="B1198" s="3" t="s">
        <v>5724</v>
      </c>
      <c r="C1198" s="3" t="s">
        <v>5725</v>
      </c>
      <c r="D1198" s="3" t="s">
        <v>14</v>
      </c>
      <c r="E1198" s="3" t="s">
        <v>5726</v>
      </c>
      <c r="F1198" s="3" t="s">
        <v>5727</v>
      </c>
      <c r="G1198" s="3"/>
      <c r="H1198" s="3" t="s">
        <v>5728</v>
      </c>
      <c r="I1198" s="4"/>
      <c r="J1198" s="4"/>
      <c r="K1198" s="4"/>
      <c r="L1198" s="4"/>
    </row>
    <row r="1199" spans="1:12" x14ac:dyDescent="0.25">
      <c r="A1199" s="2" t="str">
        <f>HYPERLINK("https://www.list-org.com/company/14558887","https://www.list-org.com/company/14558887")</f>
        <v>https://www.list-org.com/company/14558887</v>
      </c>
      <c r="B1199" s="3" t="s">
        <v>5729</v>
      </c>
      <c r="C1199" s="3" t="s">
        <v>5730</v>
      </c>
      <c r="D1199" s="3" t="s">
        <v>14</v>
      </c>
      <c r="E1199" s="3" t="s">
        <v>5731</v>
      </c>
      <c r="F1199" s="3" t="s">
        <v>5732</v>
      </c>
      <c r="G1199" s="3"/>
      <c r="H1199" s="3" t="s">
        <v>5733</v>
      </c>
      <c r="I1199" s="4"/>
      <c r="J1199" s="4"/>
      <c r="K1199" s="4"/>
      <c r="L1199" s="4"/>
    </row>
    <row r="1200" spans="1:12" x14ac:dyDescent="0.25">
      <c r="A1200" s="2" t="str">
        <f>HYPERLINK("https://www.list-org.com/company/14560773","https://www.list-org.com/company/14560773")</f>
        <v>https://www.list-org.com/company/14560773</v>
      </c>
      <c r="B1200" s="3" t="s">
        <v>5734</v>
      </c>
      <c r="C1200" s="3" t="s">
        <v>5735</v>
      </c>
      <c r="D1200" s="3" t="s">
        <v>14</v>
      </c>
      <c r="E1200" s="3" t="s">
        <v>5736</v>
      </c>
      <c r="F1200" s="3" t="s">
        <v>5737</v>
      </c>
      <c r="G1200" s="3"/>
      <c r="H1200" s="3" t="s">
        <v>5738</v>
      </c>
      <c r="I1200" s="4"/>
      <c r="J1200" s="4"/>
      <c r="K1200" s="4"/>
      <c r="L1200" s="4"/>
    </row>
    <row r="1201" spans="1:12" x14ac:dyDescent="0.25">
      <c r="A1201" s="2" t="str">
        <f>HYPERLINK("https://www.list-org.com/company/14561577","https://www.list-org.com/company/14561577")</f>
        <v>https://www.list-org.com/company/14561577</v>
      </c>
      <c r="B1201" s="3" t="s">
        <v>5739</v>
      </c>
      <c r="C1201" s="3" t="s">
        <v>5740</v>
      </c>
      <c r="D1201" s="3" t="s">
        <v>14</v>
      </c>
      <c r="E1201" s="3" t="s">
        <v>5741</v>
      </c>
      <c r="F1201" s="3" t="s">
        <v>5742</v>
      </c>
      <c r="G1201" s="3"/>
      <c r="H1201" s="3" t="s">
        <v>5743</v>
      </c>
      <c r="I1201" s="4"/>
      <c r="J1201" s="4"/>
      <c r="K1201" s="4"/>
      <c r="L1201" s="4"/>
    </row>
    <row r="1202" spans="1:12" x14ac:dyDescent="0.25">
      <c r="A1202" s="2" t="str">
        <f>HYPERLINK("https://www.list-org.com/company/14562316","https://www.list-org.com/company/14562316")</f>
        <v>https://www.list-org.com/company/14562316</v>
      </c>
      <c r="B1202" s="3" t="s">
        <v>5744</v>
      </c>
      <c r="C1202" s="3" t="s">
        <v>5745</v>
      </c>
      <c r="D1202" s="3" t="s">
        <v>14</v>
      </c>
      <c r="E1202" s="3" t="s">
        <v>5746</v>
      </c>
      <c r="F1202" s="3" t="s">
        <v>5747</v>
      </c>
      <c r="G1202" s="3"/>
      <c r="H1202" s="3" t="s">
        <v>1461</v>
      </c>
      <c r="I1202" s="4"/>
      <c r="J1202" s="4"/>
      <c r="K1202" s="4"/>
      <c r="L1202" s="4"/>
    </row>
    <row r="1203" spans="1:12" x14ac:dyDescent="0.25">
      <c r="A1203" s="2" t="str">
        <f>HYPERLINK("https://www.list-org.com/company/14562823","https://www.list-org.com/company/14562823")</f>
        <v>https://www.list-org.com/company/14562823</v>
      </c>
      <c r="B1203" s="3" t="s">
        <v>5748</v>
      </c>
      <c r="C1203" s="3" t="s">
        <v>5749</v>
      </c>
      <c r="D1203" s="3" t="s">
        <v>14</v>
      </c>
      <c r="E1203" s="3" t="s">
        <v>5750</v>
      </c>
      <c r="F1203" s="3" t="s">
        <v>5751</v>
      </c>
      <c r="G1203" s="3"/>
      <c r="H1203" s="3" t="s">
        <v>5752</v>
      </c>
      <c r="I1203" s="4"/>
      <c r="J1203" s="4"/>
      <c r="K1203" s="4"/>
      <c r="L1203" s="4"/>
    </row>
    <row r="1204" spans="1:12" x14ac:dyDescent="0.25">
      <c r="A1204" s="2" t="str">
        <f>HYPERLINK("https://www.list-org.com/company/14563212","https://www.list-org.com/company/14563212")</f>
        <v>https://www.list-org.com/company/14563212</v>
      </c>
      <c r="B1204" s="3" t="s">
        <v>5753</v>
      </c>
      <c r="C1204" s="3" t="s">
        <v>5754</v>
      </c>
      <c r="D1204" s="3" t="s">
        <v>14</v>
      </c>
      <c r="E1204" s="3" t="s">
        <v>5755</v>
      </c>
      <c r="F1204" s="3" t="s">
        <v>5756</v>
      </c>
      <c r="G1204" s="3"/>
      <c r="H1204" s="3" t="s">
        <v>5757</v>
      </c>
      <c r="I1204" s="4"/>
      <c r="J1204" s="4"/>
      <c r="K1204" s="4"/>
      <c r="L1204" s="4"/>
    </row>
    <row r="1205" spans="1:12" x14ac:dyDescent="0.25">
      <c r="A1205" s="2" t="str">
        <f>HYPERLINK("https://www.list-org.com/company/14563261","https://www.list-org.com/company/14563261")</f>
        <v>https://www.list-org.com/company/14563261</v>
      </c>
      <c r="B1205" s="3" t="s">
        <v>5758</v>
      </c>
      <c r="C1205" s="3" t="s">
        <v>5759</v>
      </c>
      <c r="D1205" s="3" t="s">
        <v>14</v>
      </c>
      <c r="E1205" s="3" t="s">
        <v>5760</v>
      </c>
      <c r="F1205" s="3" t="s">
        <v>5761</v>
      </c>
      <c r="G1205" s="3"/>
      <c r="H1205" s="3" t="s">
        <v>5762</v>
      </c>
      <c r="I1205" s="4"/>
      <c r="J1205" s="4"/>
      <c r="K1205" s="4"/>
      <c r="L1205" s="4"/>
    </row>
    <row r="1206" spans="1:12" x14ac:dyDescent="0.25">
      <c r="A1206" s="2" t="str">
        <f>HYPERLINK("https://www.list-org.com/company/14563601","https://www.list-org.com/company/14563601")</f>
        <v>https://www.list-org.com/company/14563601</v>
      </c>
      <c r="B1206" s="3" t="s">
        <v>5763</v>
      </c>
      <c r="C1206" s="3" t="s">
        <v>5764</v>
      </c>
      <c r="D1206" s="3" t="s">
        <v>14</v>
      </c>
      <c r="E1206" s="3" t="s">
        <v>5765</v>
      </c>
      <c r="F1206" s="3" t="s">
        <v>5766</v>
      </c>
      <c r="G1206" s="3"/>
      <c r="H1206" s="3" t="s">
        <v>5767</v>
      </c>
      <c r="I1206" s="4"/>
      <c r="J1206" s="4"/>
      <c r="K1206" s="4"/>
      <c r="L1206" s="4"/>
    </row>
    <row r="1207" spans="1:12" x14ac:dyDescent="0.25">
      <c r="A1207" s="2" t="str">
        <f>HYPERLINK("https://www.list-org.com/company/14563868","https://www.list-org.com/company/14563868")</f>
        <v>https://www.list-org.com/company/14563868</v>
      </c>
      <c r="B1207" s="3" t="s">
        <v>5768</v>
      </c>
      <c r="C1207" s="3" t="s">
        <v>5769</v>
      </c>
      <c r="D1207" s="3" t="s">
        <v>14</v>
      </c>
      <c r="E1207" s="3" t="s">
        <v>5770</v>
      </c>
      <c r="F1207" s="3" t="s">
        <v>5771</v>
      </c>
      <c r="G1207" s="3"/>
      <c r="H1207" s="3" t="s">
        <v>5772</v>
      </c>
      <c r="I1207" s="4"/>
      <c r="J1207" s="4"/>
      <c r="K1207" s="4"/>
      <c r="L1207" s="4"/>
    </row>
    <row r="1208" spans="1:12" x14ac:dyDescent="0.25">
      <c r="A1208" s="2" t="str">
        <f>HYPERLINK("https://www.list-org.com/company/14564011","https://www.list-org.com/company/14564011")</f>
        <v>https://www.list-org.com/company/14564011</v>
      </c>
      <c r="B1208" s="3" t="s">
        <v>5773</v>
      </c>
      <c r="C1208" s="3" t="s">
        <v>5774</v>
      </c>
      <c r="D1208" s="3" t="s">
        <v>14</v>
      </c>
      <c r="E1208" s="3" t="s">
        <v>5775</v>
      </c>
      <c r="F1208" s="3" t="s">
        <v>5776</v>
      </c>
      <c r="G1208" s="3"/>
      <c r="H1208" s="3" t="s">
        <v>5777</v>
      </c>
      <c r="I1208" s="4"/>
      <c r="J1208" s="4"/>
      <c r="K1208" s="4"/>
      <c r="L1208" s="4"/>
    </row>
    <row r="1209" spans="1:12" x14ac:dyDescent="0.25">
      <c r="A1209" s="2" t="str">
        <f>HYPERLINK("https://www.list-org.com/company/14565153","https://www.list-org.com/company/14565153")</f>
        <v>https://www.list-org.com/company/14565153</v>
      </c>
      <c r="B1209" s="3" t="s">
        <v>5778</v>
      </c>
      <c r="C1209" s="3" t="s">
        <v>5779</v>
      </c>
      <c r="D1209" s="3" t="s">
        <v>14</v>
      </c>
      <c r="E1209" s="3" t="s">
        <v>5780</v>
      </c>
      <c r="F1209" s="3" t="s">
        <v>5781</v>
      </c>
      <c r="G1209" s="3"/>
      <c r="H1209" s="3" t="s">
        <v>5723</v>
      </c>
      <c r="I1209" s="4"/>
      <c r="J1209" s="4"/>
      <c r="K1209" s="4"/>
      <c r="L1209" s="4"/>
    </row>
    <row r="1210" spans="1:12" x14ac:dyDescent="0.25">
      <c r="A1210" s="2" t="str">
        <f>HYPERLINK("https://www.list-org.com/company/14565743","https://www.list-org.com/company/14565743")</f>
        <v>https://www.list-org.com/company/14565743</v>
      </c>
      <c r="B1210" s="3" t="s">
        <v>5782</v>
      </c>
      <c r="C1210" s="3" t="s">
        <v>5783</v>
      </c>
      <c r="D1210" s="3" t="s">
        <v>14</v>
      </c>
      <c r="E1210" s="3" t="s">
        <v>5784</v>
      </c>
      <c r="F1210" s="3" t="s">
        <v>5785</v>
      </c>
      <c r="G1210" s="3"/>
      <c r="H1210" s="3" t="s">
        <v>5786</v>
      </c>
      <c r="I1210" s="4"/>
      <c r="J1210" s="4">
        <v>94020</v>
      </c>
      <c r="K1210" s="4">
        <v>91337</v>
      </c>
      <c r="L1210" s="4">
        <v>91347</v>
      </c>
    </row>
    <row r="1211" spans="1:12" x14ac:dyDescent="0.25">
      <c r="A1211" s="2" t="str">
        <f>HYPERLINK("https://www.list-org.com/company/14565972","https://www.list-org.com/company/14565972")</f>
        <v>https://www.list-org.com/company/14565972</v>
      </c>
      <c r="B1211" s="3" t="s">
        <v>5787</v>
      </c>
      <c r="C1211" s="3" t="s">
        <v>5788</v>
      </c>
      <c r="D1211" s="3" t="s">
        <v>14</v>
      </c>
      <c r="E1211" s="3" t="s">
        <v>5789</v>
      </c>
      <c r="F1211" s="3" t="s">
        <v>5790</v>
      </c>
      <c r="G1211" s="3"/>
      <c r="H1211" s="3" t="s">
        <v>5791</v>
      </c>
      <c r="I1211" s="4"/>
      <c r="J1211" s="4"/>
      <c r="K1211" s="4"/>
      <c r="L1211" s="4"/>
    </row>
    <row r="1212" spans="1:12" x14ac:dyDescent="0.25">
      <c r="A1212" s="2" t="str">
        <f>HYPERLINK("https://www.list-org.com/company/14566671","https://www.list-org.com/company/14566671")</f>
        <v>https://www.list-org.com/company/14566671</v>
      </c>
      <c r="B1212" s="3" t="s">
        <v>5792</v>
      </c>
      <c r="C1212" s="3" t="s">
        <v>5793</v>
      </c>
      <c r="D1212" s="3" t="s">
        <v>14</v>
      </c>
      <c r="E1212" s="3" t="s">
        <v>5794</v>
      </c>
      <c r="F1212" s="3" t="s">
        <v>5795</v>
      </c>
      <c r="G1212" s="3"/>
      <c r="H1212" s="3" t="s">
        <v>5796</v>
      </c>
      <c r="I1212" s="4"/>
      <c r="J1212" s="4"/>
      <c r="K1212" s="4"/>
      <c r="L1212" s="4"/>
    </row>
    <row r="1213" spans="1:12" x14ac:dyDescent="0.25">
      <c r="A1213" s="2" t="str">
        <f>HYPERLINK("https://www.list-org.com/company/14567484","https://www.list-org.com/company/14567484")</f>
        <v>https://www.list-org.com/company/14567484</v>
      </c>
      <c r="B1213" s="3" t="s">
        <v>5797</v>
      </c>
      <c r="C1213" s="3" t="s">
        <v>5798</v>
      </c>
      <c r="D1213" s="3" t="s">
        <v>14</v>
      </c>
      <c r="E1213" s="3" t="s">
        <v>5799</v>
      </c>
      <c r="F1213" s="3" t="s">
        <v>5800</v>
      </c>
      <c r="G1213" s="3"/>
      <c r="H1213" s="3" t="s">
        <v>5723</v>
      </c>
      <c r="I1213" s="4"/>
      <c r="J1213" s="4"/>
      <c r="K1213" s="4"/>
      <c r="L1213" s="4"/>
    </row>
    <row r="1214" spans="1:12" x14ac:dyDescent="0.25">
      <c r="A1214" s="2" t="str">
        <f>HYPERLINK("https://www.list-org.com/company/14568040","https://www.list-org.com/company/14568040")</f>
        <v>https://www.list-org.com/company/14568040</v>
      </c>
      <c r="B1214" s="3" t="s">
        <v>5801</v>
      </c>
      <c r="C1214" s="3" t="s">
        <v>5802</v>
      </c>
      <c r="D1214" s="3" t="s">
        <v>14</v>
      </c>
      <c r="E1214" s="3" t="s">
        <v>5803</v>
      </c>
      <c r="F1214" s="3" t="s">
        <v>5804</v>
      </c>
      <c r="G1214" s="3"/>
      <c r="H1214" s="3" t="s">
        <v>5805</v>
      </c>
      <c r="I1214" s="4"/>
      <c r="J1214" s="4"/>
      <c r="K1214" s="4"/>
      <c r="L1214" s="4"/>
    </row>
    <row r="1215" spans="1:12" x14ac:dyDescent="0.25">
      <c r="A1215" s="2" t="str">
        <f>HYPERLINK("https://www.list-org.com/company/14568076","https://www.list-org.com/company/14568076")</f>
        <v>https://www.list-org.com/company/14568076</v>
      </c>
      <c r="B1215" s="3" t="s">
        <v>5806</v>
      </c>
      <c r="C1215" s="3" t="s">
        <v>5807</v>
      </c>
      <c r="D1215" s="3" t="s">
        <v>14</v>
      </c>
      <c r="E1215" s="3" t="s">
        <v>5808</v>
      </c>
      <c r="F1215" s="3" t="s">
        <v>5809</v>
      </c>
      <c r="G1215" s="3"/>
      <c r="H1215" s="3" t="s">
        <v>5810</v>
      </c>
      <c r="I1215" s="4"/>
      <c r="J1215" s="4"/>
      <c r="K1215" s="4"/>
      <c r="L1215" s="4"/>
    </row>
    <row r="1216" spans="1:12" x14ac:dyDescent="0.25">
      <c r="A1216" s="2" t="str">
        <f>HYPERLINK("https://www.list-org.com/company/14568178","https://www.list-org.com/company/14568178")</f>
        <v>https://www.list-org.com/company/14568178</v>
      </c>
      <c r="B1216" s="3" t="s">
        <v>5811</v>
      </c>
      <c r="C1216" s="3" t="s">
        <v>5812</v>
      </c>
      <c r="D1216" s="3" t="s">
        <v>14</v>
      </c>
      <c r="E1216" s="3" t="s">
        <v>5813</v>
      </c>
      <c r="F1216" s="3" t="s">
        <v>5814</v>
      </c>
      <c r="G1216" s="3"/>
      <c r="H1216" s="3" t="s">
        <v>5815</v>
      </c>
      <c r="I1216" s="4"/>
      <c r="J1216" s="4"/>
      <c r="K1216" s="4"/>
      <c r="L1216" s="4"/>
    </row>
    <row r="1217" spans="1:12" x14ac:dyDescent="0.25">
      <c r="A1217" s="2" t="str">
        <f>HYPERLINK("https://www.list-org.com/company/14569100","https://www.list-org.com/company/14569100")</f>
        <v>https://www.list-org.com/company/14569100</v>
      </c>
      <c r="B1217" s="3" t="s">
        <v>5816</v>
      </c>
      <c r="C1217" s="3" t="s">
        <v>5817</v>
      </c>
      <c r="D1217" s="3" t="s">
        <v>14</v>
      </c>
      <c r="E1217" s="3" t="s">
        <v>5818</v>
      </c>
      <c r="F1217" s="3" t="s">
        <v>5819</v>
      </c>
      <c r="G1217" s="3"/>
      <c r="H1217" s="3" t="s">
        <v>4340</v>
      </c>
      <c r="I1217" s="4"/>
      <c r="J1217" s="4"/>
      <c r="K1217" s="4"/>
      <c r="L1217" s="4"/>
    </row>
    <row r="1218" spans="1:12" x14ac:dyDescent="0.25">
      <c r="A1218" s="2" t="str">
        <f>HYPERLINK("https://www.list-org.com/company/14569816","https://www.list-org.com/company/14569816")</f>
        <v>https://www.list-org.com/company/14569816</v>
      </c>
      <c r="B1218" s="3" t="s">
        <v>5820</v>
      </c>
      <c r="C1218" s="3" t="s">
        <v>5821</v>
      </c>
      <c r="D1218" s="3" t="s">
        <v>14</v>
      </c>
      <c r="E1218" s="3" t="s">
        <v>5822</v>
      </c>
      <c r="F1218" s="3" t="s">
        <v>5823</v>
      </c>
      <c r="G1218" s="3"/>
      <c r="H1218" s="3" t="s">
        <v>5824</v>
      </c>
      <c r="I1218" s="4"/>
      <c r="J1218" s="4"/>
      <c r="K1218" s="4"/>
      <c r="L1218" s="4"/>
    </row>
    <row r="1219" spans="1:12" x14ac:dyDescent="0.25">
      <c r="A1219" s="2" t="str">
        <f>HYPERLINK("https://www.list-org.com/company/14570000","https://www.list-org.com/company/14570000")</f>
        <v>https://www.list-org.com/company/14570000</v>
      </c>
      <c r="B1219" s="3" t="s">
        <v>5825</v>
      </c>
      <c r="C1219" s="3" t="s">
        <v>5826</v>
      </c>
      <c r="D1219" s="3" t="s">
        <v>14</v>
      </c>
      <c r="E1219" s="3" t="s">
        <v>5827</v>
      </c>
      <c r="F1219" s="3" t="s">
        <v>5828</v>
      </c>
      <c r="G1219" s="3"/>
      <c r="H1219" s="3" t="s">
        <v>5829</v>
      </c>
      <c r="I1219" s="4"/>
      <c r="J1219" s="4"/>
      <c r="K1219" s="4">
        <v>-60</v>
      </c>
      <c r="L1219" s="4">
        <v>-50</v>
      </c>
    </row>
    <row r="1220" spans="1:12" x14ac:dyDescent="0.25">
      <c r="A1220" s="2" t="str">
        <f>HYPERLINK("https://www.list-org.com/company/14570283","https://www.list-org.com/company/14570283")</f>
        <v>https://www.list-org.com/company/14570283</v>
      </c>
      <c r="B1220" s="3" t="s">
        <v>5830</v>
      </c>
      <c r="C1220" s="3" t="s">
        <v>5831</v>
      </c>
      <c r="D1220" s="3" t="s">
        <v>14</v>
      </c>
      <c r="E1220" s="3" t="s">
        <v>5832</v>
      </c>
      <c r="F1220" s="3" t="s">
        <v>5833</v>
      </c>
      <c r="G1220" s="3"/>
      <c r="H1220" s="3" t="s">
        <v>5834</v>
      </c>
      <c r="I1220" s="4"/>
      <c r="J1220" s="4"/>
      <c r="K1220" s="4"/>
      <c r="L1220" s="4"/>
    </row>
    <row r="1221" spans="1:12" x14ac:dyDescent="0.25">
      <c r="A1221" s="2" t="str">
        <f>HYPERLINK("https://www.list-org.com/company/14570300","https://www.list-org.com/company/14570300")</f>
        <v>https://www.list-org.com/company/14570300</v>
      </c>
      <c r="B1221" s="3" t="s">
        <v>5835</v>
      </c>
      <c r="C1221" s="3" t="s">
        <v>5836</v>
      </c>
      <c r="D1221" s="3" t="s">
        <v>14</v>
      </c>
      <c r="E1221" s="3" t="s">
        <v>5837</v>
      </c>
      <c r="F1221" s="3" t="s">
        <v>5838</v>
      </c>
      <c r="G1221" s="3"/>
      <c r="H1221" s="3" t="s">
        <v>5839</v>
      </c>
      <c r="I1221" s="4"/>
      <c r="J1221" s="4"/>
      <c r="K1221" s="4"/>
      <c r="L1221" s="4"/>
    </row>
    <row r="1222" spans="1:12" x14ac:dyDescent="0.25">
      <c r="A1222" s="2" t="str">
        <f>HYPERLINK("https://www.list-org.com/company/14570869","https://www.list-org.com/company/14570869")</f>
        <v>https://www.list-org.com/company/14570869</v>
      </c>
      <c r="B1222" s="3" t="s">
        <v>5840</v>
      </c>
      <c r="C1222" s="3" t="s">
        <v>5841</v>
      </c>
      <c r="D1222" s="3" t="s">
        <v>14</v>
      </c>
      <c r="E1222" s="3" t="s">
        <v>5842</v>
      </c>
      <c r="F1222" s="3" t="s">
        <v>5843</v>
      </c>
      <c r="G1222" s="3"/>
      <c r="H1222" s="3" t="s">
        <v>1594</v>
      </c>
      <c r="I1222" s="4"/>
      <c r="J1222" s="4"/>
      <c r="K1222" s="4"/>
      <c r="L1222" s="4"/>
    </row>
    <row r="1223" spans="1:12" x14ac:dyDescent="0.25">
      <c r="A1223" s="2" t="str">
        <f>HYPERLINK("https://www.list-org.com/company/14571102","https://www.list-org.com/company/14571102")</f>
        <v>https://www.list-org.com/company/14571102</v>
      </c>
      <c r="B1223" s="3" t="s">
        <v>5844</v>
      </c>
      <c r="C1223" s="3" t="s">
        <v>5845</v>
      </c>
      <c r="D1223" s="3" t="s">
        <v>14</v>
      </c>
      <c r="E1223" s="3" t="s">
        <v>5846</v>
      </c>
      <c r="F1223" s="3" t="s">
        <v>5847</v>
      </c>
      <c r="G1223" s="3"/>
      <c r="H1223" s="3" t="s">
        <v>2332</v>
      </c>
      <c r="I1223" s="4"/>
      <c r="J1223" s="4"/>
      <c r="K1223" s="4"/>
      <c r="L1223" s="4"/>
    </row>
    <row r="1224" spans="1:12" x14ac:dyDescent="0.25">
      <c r="A1224" s="2" t="str">
        <f>HYPERLINK("https://www.list-org.com/company/14571145","https://www.list-org.com/company/14571145")</f>
        <v>https://www.list-org.com/company/14571145</v>
      </c>
      <c r="B1224" s="3" t="s">
        <v>5848</v>
      </c>
      <c r="C1224" s="3" t="s">
        <v>5849</v>
      </c>
      <c r="D1224" s="3" t="s">
        <v>14</v>
      </c>
      <c r="E1224" s="3" t="s">
        <v>5850</v>
      </c>
      <c r="F1224" s="3" t="s">
        <v>5851</v>
      </c>
      <c r="G1224" s="3"/>
      <c r="H1224" s="3" t="s">
        <v>5852</v>
      </c>
      <c r="I1224" s="4"/>
      <c r="J1224" s="4"/>
      <c r="K1224" s="4"/>
      <c r="L1224" s="4"/>
    </row>
    <row r="1225" spans="1:12" x14ac:dyDescent="0.25">
      <c r="A1225" s="2" t="str">
        <f>HYPERLINK("https://www.list-org.com/company/14571186","https://www.list-org.com/company/14571186")</f>
        <v>https://www.list-org.com/company/14571186</v>
      </c>
      <c r="B1225" s="3" t="s">
        <v>5853</v>
      </c>
      <c r="C1225" s="3" t="s">
        <v>5854</v>
      </c>
      <c r="D1225" s="3" t="s">
        <v>14</v>
      </c>
      <c r="E1225" s="3" t="s">
        <v>5855</v>
      </c>
      <c r="F1225" s="3" t="s">
        <v>5856</v>
      </c>
      <c r="G1225" s="3"/>
      <c r="H1225" s="3" t="s">
        <v>5857</v>
      </c>
      <c r="I1225" s="4"/>
      <c r="J1225" s="4"/>
      <c r="K1225" s="4"/>
      <c r="L1225" s="4"/>
    </row>
    <row r="1226" spans="1:12" x14ac:dyDescent="0.25">
      <c r="A1226" s="2" t="str">
        <f>HYPERLINK("https://www.list-org.com/company/14572222","https://www.list-org.com/company/14572222")</f>
        <v>https://www.list-org.com/company/14572222</v>
      </c>
      <c r="B1226" s="3" t="s">
        <v>5858</v>
      </c>
      <c r="C1226" s="3" t="s">
        <v>5859</v>
      </c>
      <c r="D1226" s="3" t="s">
        <v>14</v>
      </c>
      <c r="E1226" s="3" t="s">
        <v>5860</v>
      </c>
      <c r="F1226" s="3" t="s">
        <v>5861</v>
      </c>
      <c r="G1226" s="3"/>
      <c r="H1226" s="3" t="s">
        <v>5862</v>
      </c>
      <c r="I1226" s="4"/>
      <c r="J1226" s="4"/>
      <c r="K1226" s="4"/>
      <c r="L1226" s="4"/>
    </row>
    <row r="1227" spans="1:12" x14ac:dyDescent="0.25">
      <c r="A1227" s="2" t="str">
        <f>HYPERLINK("https://www.list-org.com/company/14573315","https://www.list-org.com/company/14573315")</f>
        <v>https://www.list-org.com/company/14573315</v>
      </c>
      <c r="B1227" s="3" t="s">
        <v>5863</v>
      </c>
      <c r="C1227" s="3" t="s">
        <v>5864</v>
      </c>
      <c r="D1227" s="3" t="s">
        <v>14</v>
      </c>
      <c r="E1227" s="3" t="s">
        <v>5865</v>
      </c>
      <c r="F1227" s="3" t="s">
        <v>5866</v>
      </c>
      <c r="G1227" s="3"/>
      <c r="H1227" s="3" t="s">
        <v>5867</v>
      </c>
      <c r="I1227" s="4"/>
      <c r="J1227" s="4"/>
      <c r="K1227" s="4"/>
      <c r="L1227" s="4"/>
    </row>
    <row r="1228" spans="1:12" x14ac:dyDescent="0.25">
      <c r="A1228" s="2" t="str">
        <f>HYPERLINK("https://www.list-org.com/company/14573678","https://www.list-org.com/company/14573678")</f>
        <v>https://www.list-org.com/company/14573678</v>
      </c>
      <c r="B1228" s="3" t="s">
        <v>5868</v>
      </c>
      <c r="C1228" s="3" t="s">
        <v>5869</v>
      </c>
      <c r="D1228" s="3" t="s">
        <v>14</v>
      </c>
      <c r="E1228" s="3" t="s">
        <v>5870</v>
      </c>
      <c r="F1228" s="3" t="s">
        <v>5871</v>
      </c>
      <c r="G1228" s="3"/>
      <c r="H1228" s="3" t="s">
        <v>5872</v>
      </c>
      <c r="I1228" s="4"/>
      <c r="J1228" s="4"/>
      <c r="K1228" s="4"/>
      <c r="L1228" s="4"/>
    </row>
    <row r="1229" spans="1:12" x14ac:dyDescent="0.25">
      <c r="A1229" s="2" t="str">
        <f>HYPERLINK("https://www.list-org.com/company/14573679","https://www.list-org.com/company/14573679")</f>
        <v>https://www.list-org.com/company/14573679</v>
      </c>
      <c r="B1229" s="3" t="s">
        <v>5873</v>
      </c>
      <c r="C1229" s="3" t="s">
        <v>5874</v>
      </c>
      <c r="D1229" s="3" t="s">
        <v>14</v>
      </c>
      <c r="E1229" s="3" t="s">
        <v>5875</v>
      </c>
      <c r="F1229" s="3" t="s">
        <v>5876</v>
      </c>
      <c r="G1229" s="3"/>
      <c r="H1229" s="3" t="s">
        <v>5877</v>
      </c>
      <c r="I1229" s="4"/>
      <c r="J1229" s="4"/>
      <c r="K1229" s="4"/>
      <c r="L1229" s="4"/>
    </row>
    <row r="1230" spans="1:12" x14ac:dyDescent="0.25">
      <c r="A1230" s="2" t="str">
        <f>HYPERLINK("https://www.list-org.com/company/14573692","https://www.list-org.com/company/14573692")</f>
        <v>https://www.list-org.com/company/14573692</v>
      </c>
      <c r="B1230" s="3" t="s">
        <v>5878</v>
      </c>
      <c r="C1230" s="3" t="s">
        <v>5879</v>
      </c>
      <c r="D1230" s="3" t="s">
        <v>14</v>
      </c>
      <c r="E1230" s="3" t="s">
        <v>5880</v>
      </c>
      <c r="F1230" s="3" t="s">
        <v>5881</v>
      </c>
      <c r="G1230" s="3"/>
      <c r="H1230" s="3" t="s">
        <v>5882</v>
      </c>
      <c r="I1230" s="4"/>
      <c r="J1230" s="4"/>
      <c r="K1230" s="4"/>
      <c r="L1230" s="4"/>
    </row>
    <row r="1231" spans="1:12" x14ac:dyDescent="0.25">
      <c r="A1231" s="2" t="str">
        <f>HYPERLINK("https://www.list-org.com/company/14573702","https://www.list-org.com/company/14573702")</f>
        <v>https://www.list-org.com/company/14573702</v>
      </c>
      <c r="B1231" s="3" t="s">
        <v>5883</v>
      </c>
      <c r="C1231" s="3" t="s">
        <v>5884</v>
      </c>
      <c r="D1231" s="3" t="s">
        <v>14</v>
      </c>
      <c r="E1231" s="3" t="s">
        <v>5885</v>
      </c>
      <c r="F1231" s="3" t="s">
        <v>5886</v>
      </c>
      <c r="G1231" s="3"/>
      <c r="H1231" s="3" t="s">
        <v>5887</v>
      </c>
      <c r="I1231" s="4"/>
      <c r="J1231" s="4"/>
      <c r="K1231" s="4"/>
      <c r="L1231" s="4"/>
    </row>
    <row r="1232" spans="1:12" x14ac:dyDescent="0.25">
      <c r="A1232" s="2" t="str">
        <f>HYPERLINK("https://www.list-org.com/company/14573707","https://www.list-org.com/company/14573707")</f>
        <v>https://www.list-org.com/company/14573707</v>
      </c>
      <c r="B1232" s="3" t="s">
        <v>5888</v>
      </c>
      <c r="C1232" s="3" t="s">
        <v>5889</v>
      </c>
      <c r="D1232" s="3" t="s">
        <v>14</v>
      </c>
      <c r="E1232" s="3" t="s">
        <v>5890</v>
      </c>
      <c r="F1232" s="3" t="s">
        <v>5891</v>
      </c>
      <c r="G1232" s="3"/>
      <c r="H1232" s="3" t="s">
        <v>5892</v>
      </c>
      <c r="I1232" s="4"/>
      <c r="J1232" s="4"/>
      <c r="K1232" s="4"/>
      <c r="L1232" s="4"/>
    </row>
    <row r="1233" spans="1:12" x14ac:dyDescent="0.25">
      <c r="A1233" s="2" t="str">
        <f>HYPERLINK("https://www.list-org.com/company/14573781","https://www.list-org.com/company/14573781")</f>
        <v>https://www.list-org.com/company/14573781</v>
      </c>
      <c r="B1233" s="3" t="s">
        <v>5893</v>
      </c>
      <c r="C1233" s="3" t="s">
        <v>5894</v>
      </c>
      <c r="D1233" s="3" t="s">
        <v>14</v>
      </c>
      <c r="E1233" s="3" t="s">
        <v>5895</v>
      </c>
      <c r="F1233" s="3" t="s">
        <v>5896</v>
      </c>
      <c r="G1233" s="3"/>
      <c r="H1233" s="3" t="s">
        <v>5897</v>
      </c>
      <c r="I1233" s="4"/>
      <c r="J1233" s="4"/>
      <c r="K1233" s="4"/>
      <c r="L1233" s="4"/>
    </row>
    <row r="1234" spans="1:12" x14ac:dyDescent="0.25">
      <c r="A1234" s="2" t="str">
        <f>HYPERLINK("https://www.list-org.com/company/14574850","https://www.list-org.com/company/14574850")</f>
        <v>https://www.list-org.com/company/14574850</v>
      </c>
      <c r="B1234" s="3" t="s">
        <v>5898</v>
      </c>
      <c r="C1234" s="3" t="s">
        <v>5899</v>
      </c>
      <c r="D1234" s="3" t="s">
        <v>14</v>
      </c>
      <c r="E1234" s="3" t="s">
        <v>5900</v>
      </c>
      <c r="F1234" s="3" t="s">
        <v>5901</v>
      </c>
      <c r="G1234" s="3"/>
      <c r="H1234" s="3" t="s">
        <v>5902</v>
      </c>
      <c r="I1234" s="4"/>
      <c r="J1234" s="4"/>
      <c r="K1234" s="4"/>
      <c r="L1234" s="4"/>
    </row>
    <row r="1235" spans="1:12" x14ac:dyDescent="0.25">
      <c r="A1235" s="2" t="str">
        <f>HYPERLINK("https://www.list-org.com/company/14574852","https://www.list-org.com/company/14574852")</f>
        <v>https://www.list-org.com/company/14574852</v>
      </c>
      <c r="B1235" s="3" t="s">
        <v>5903</v>
      </c>
      <c r="C1235" s="3" t="s">
        <v>5904</v>
      </c>
      <c r="D1235" s="3" t="s">
        <v>14</v>
      </c>
      <c r="E1235" s="3" t="s">
        <v>5905</v>
      </c>
      <c r="F1235" s="3" t="s">
        <v>5906</v>
      </c>
      <c r="G1235" s="3"/>
      <c r="H1235" s="3" t="s">
        <v>5907</v>
      </c>
      <c r="I1235" s="4"/>
      <c r="J1235" s="4"/>
      <c r="K1235" s="4"/>
      <c r="L1235" s="4"/>
    </row>
    <row r="1236" spans="1:12" x14ac:dyDescent="0.25">
      <c r="A1236" s="2" t="str">
        <f>HYPERLINK("https://www.list-org.com/company/14575049","https://www.list-org.com/company/14575049")</f>
        <v>https://www.list-org.com/company/14575049</v>
      </c>
      <c r="B1236" s="3" t="s">
        <v>5908</v>
      </c>
      <c r="C1236" s="3" t="s">
        <v>5909</v>
      </c>
      <c r="D1236" s="3" t="s">
        <v>14</v>
      </c>
      <c r="E1236" s="3" t="s">
        <v>5910</v>
      </c>
      <c r="F1236" s="3" t="s">
        <v>5911</v>
      </c>
      <c r="G1236" s="3"/>
      <c r="H1236" s="3" t="s">
        <v>4376</v>
      </c>
      <c r="I1236" s="4"/>
      <c r="J1236" s="4"/>
      <c r="K1236" s="4"/>
      <c r="L1236" s="4"/>
    </row>
    <row r="1237" spans="1:12" x14ac:dyDescent="0.25">
      <c r="A1237" s="2" t="str">
        <f>HYPERLINK("https://www.list-org.com/company/14575141","https://www.list-org.com/company/14575141")</f>
        <v>https://www.list-org.com/company/14575141</v>
      </c>
      <c r="B1237" s="3" t="s">
        <v>5912</v>
      </c>
      <c r="C1237" s="3" t="s">
        <v>5912</v>
      </c>
      <c r="D1237" s="3" t="s">
        <v>14</v>
      </c>
      <c r="E1237" s="3" t="s">
        <v>5913</v>
      </c>
      <c r="F1237" s="3" t="s">
        <v>5914</v>
      </c>
      <c r="G1237" s="3"/>
      <c r="H1237" s="3" t="s">
        <v>5915</v>
      </c>
      <c r="I1237" s="4"/>
      <c r="J1237" s="4"/>
      <c r="K1237" s="4"/>
      <c r="L1237" s="4"/>
    </row>
    <row r="1238" spans="1:12" x14ac:dyDescent="0.25">
      <c r="A1238" s="2" t="str">
        <f>HYPERLINK("https://www.list-org.com/company/14575735","https://www.list-org.com/company/14575735")</f>
        <v>https://www.list-org.com/company/14575735</v>
      </c>
      <c r="B1238" s="3" t="s">
        <v>5916</v>
      </c>
      <c r="C1238" s="3" t="s">
        <v>5917</v>
      </c>
      <c r="D1238" s="3" t="s">
        <v>14</v>
      </c>
      <c r="E1238" s="3" t="s">
        <v>5918</v>
      </c>
      <c r="F1238" s="3" t="s">
        <v>5919</v>
      </c>
      <c r="G1238" s="3"/>
      <c r="H1238" s="3" t="s">
        <v>5920</v>
      </c>
      <c r="I1238" s="4"/>
      <c r="J1238" s="4"/>
      <c r="K1238" s="4"/>
      <c r="L1238" s="4"/>
    </row>
    <row r="1239" spans="1:12" x14ac:dyDescent="0.25">
      <c r="A1239" s="2" t="str">
        <f>HYPERLINK("https://www.list-org.com/company/14575825","https://www.list-org.com/company/14575825")</f>
        <v>https://www.list-org.com/company/14575825</v>
      </c>
      <c r="B1239" s="3" t="s">
        <v>5921</v>
      </c>
      <c r="C1239" s="3" t="s">
        <v>5922</v>
      </c>
      <c r="D1239" s="3" t="s">
        <v>14</v>
      </c>
      <c r="E1239" s="3" t="s">
        <v>5923</v>
      </c>
      <c r="F1239" s="3" t="s">
        <v>5924</v>
      </c>
      <c r="G1239" s="3"/>
      <c r="H1239" s="3" t="s">
        <v>5925</v>
      </c>
      <c r="I1239" s="4"/>
      <c r="J1239" s="4"/>
      <c r="K1239" s="4"/>
      <c r="L1239" s="4"/>
    </row>
    <row r="1240" spans="1:12" x14ac:dyDescent="0.25">
      <c r="A1240" s="2" t="str">
        <f>HYPERLINK("https://www.list-org.com/company/14576132","https://www.list-org.com/company/14576132")</f>
        <v>https://www.list-org.com/company/14576132</v>
      </c>
      <c r="B1240" s="3" t="s">
        <v>5926</v>
      </c>
      <c r="C1240" s="3" t="s">
        <v>5927</v>
      </c>
      <c r="D1240" s="3" t="s">
        <v>14</v>
      </c>
      <c r="E1240" s="3" t="s">
        <v>5928</v>
      </c>
      <c r="F1240" s="3" t="s">
        <v>5929</v>
      </c>
      <c r="G1240" s="3"/>
      <c r="H1240" s="3" t="s">
        <v>5930</v>
      </c>
      <c r="I1240" s="4"/>
      <c r="J1240" s="4"/>
      <c r="K1240" s="4"/>
      <c r="L1240" s="4"/>
    </row>
    <row r="1241" spans="1:12" x14ac:dyDescent="0.25">
      <c r="A1241" s="2" t="str">
        <f>HYPERLINK("https://www.list-org.com/company/14576350","https://www.list-org.com/company/14576350")</f>
        <v>https://www.list-org.com/company/14576350</v>
      </c>
      <c r="B1241" s="3" t="s">
        <v>5931</v>
      </c>
      <c r="C1241" s="3" t="s">
        <v>5932</v>
      </c>
      <c r="D1241" s="3" t="s">
        <v>14</v>
      </c>
      <c r="E1241" s="3" t="s">
        <v>5933</v>
      </c>
      <c r="F1241" s="3" t="s">
        <v>5934</v>
      </c>
      <c r="G1241" s="3"/>
      <c r="H1241" s="3" t="s">
        <v>5935</v>
      </c>
      <c r="I1241" s="4"/>
      <c r="J1241" s="4"/>
      <c r="K1241" s="4"/>
      <c r="L1241" s="4"/>
    </row>
    <row r="1242" spans="1:12" x14ac:dyDescent="0.25">
      <c r="A1242" s="2" t="str">
        <f>HYPERLINK("https://www.list-org.com/company/14577115","https://www.list-org.com/company/14577115")</f>
        <v>https://www.list-org.com/company/14577115</v>
      </c>
      <c r="B1242" s="3" t="s">
        <v>5936</v>
      </c>
      <c r="C1242" s="3" t="s">
        <v>5937</v>
      </c>
      <c r="D1242" s="3" t="s">
        <v>14</v>
      </c>
      <c r="E1242" s="3" t="s">
        <v>5938</v>
      </c>
      <c r="F1242" s="3" t="s">
        <v>5939</v>
      </c>
      <c r="G1242" s="3"/>
      <c r="H1242" s="3" t="s">
        <v>5940</v>
      </c>
      <c r="I1242" s="4"/>
      <c r="J1242" s="4"/>
      <c r="K1242" s="4"/>
      <c r="L1242" s="4"/>
    </row>
    <row r="1243" spans="1:12" x14ac:dyDescent="0.25">
      <c r="A1243" s="2" t="str">
        <f>HYPERLINK("https://www.list-org.com/company/14579104","https://www.list-org.com/company/14579104")</f>
        <v>https://www.list-org.com/company/14579104</v>
      </c>
      <c r="B1243" s="3" t="s">
        <v>5941</v>
      </c>
      <c r="C1243" s="3" t="s">
        <v>5942</v>
      </c>
      <c r="D1243" s="3" t="s">
        <v>14</v>
      </c>
      <c r="E1243" s="3" t="s">
        <v>5943</v>
      </c>
      <c r="F1243" s="3" t="s">
        <v>5944</v>
      </c>
      <c r="G1243" s="3"/>
      <c r="H1243" s="3" t="s">
        <v>5468</v>
      </c>
      <c r="I1243" s="4"/>
      <c r="J1243" s="4"/>
      <c r="K1243" s="4"/>
      <c r="L1243" s="4"/>
    </row>
    <row r="1244" spans="1:12" x14ac:dyDescent="0.25">
      <c r="A1244" s="2" t="str">
        <f>HYPERLINK("https://www.list-org.com/company/14579217","https://www.list-org.com/company/14579217")</f>
        <v>https://www.list-org.com/company/14579217</v>
      </c>
      <c r="B1244" s="3" t="s">
        <v>5945</v>
      </c>
      <c r="C1244" s="3" t="s">
        <v>5946</v>
      </c>
      <c r="D1244" s="3" t="s">
        <v>14</v>
      </c>
      <c r="E1244" s="3" t="s">
        <v>5947</v>
      </c>
      <c r="F1244" s="3" t="s">
        <v>5948</v>
      </c>
      <c r="G1244" s="3"/>
      <c r="H1244" s="3" t="s">
        <v>5949</v>
      </c>
      <c r="I1244" s="4"/>
      <c r="J1244" s="4"/>
      <c r="K1244" s="4"/>
      <c r="L1244" s="4"/>
    </row>
    <row r="1245" spans="1:12" x14ac:dyDescent="0.25">
      <c r="A1245" s="2" t="str">
        <f>HYPERLINK("https://www.list-org.com/company/14581261","https://www.list-org.com/company/14581261")</f>
        <v>https://www.list-org.com/company/14581261</v>
      </c>
      <c r="B1245" s="3" t="s">
        <v>5950</v>
      </c>
      <c r="C1245" s="3" t="s">
        <v>5951</v>
      </c>
      <c r="D1245" s="3" t="s">
        <v>14</v>
      </c>
      <c r="E1245" s="3" t="s">
        <v>5952</v>
      </c>
      <c r="F1245" s="3" t="s">
        <v>5953</v>
      </c>
      <c r="G1245" s="3"/>
      <c r="H1245" s="3" t="s">
        <v>1289</v>
      </c>
      <c r="I1245" s="4"/>
      <c r="J1245" s="4"/>
      <c r="K1245" s="4"/>
      <c r="L1245" s="4"/>
    </row>
    <row r="1246" spans="1:12" x14ac:dyDescent="0.25">
      <c r="A1246" s="2" t="str">
        <f>HYPERLINK("https://www.list-org.com/company/14582022","https://www.list-org.com/company/14582022")</f>
        <v>https://www.list-org.com/company/14582022</v>
      </c>
      <c r="B1246" s="3" t="s">
        <v>5954</v>
      </c>
      <c r="C1246" s="3" t="s">
        <v>5955</v>
      </c>
      <c r="D1246" s="3" t="s">
        <v>14</v>
      </c>
      <c r="E1246" s="3" t="s">
        <v>5956</v>
      </c>
      <c r="F1246" s="3" t="s">
        <v>5957</v>
      </c>
      <c r="G1246" s="3"/>
      <c r="H1246" s="3" t="s">
        <v>1575</v>
      </c>
      <c r="I1246" s="4"/>
      <c r="J1246" s="4"/>
      <c r="K1246" s="4"/>
      <c r="L1246" s="4"/>
    </row>
    <row r="1247" spans="1:12" x14ac:dyDescent="0.25">
      <c r="A1247" s="2" t="str">
        <f>HYPERLINK("https://www.list-org.com/company/14582546","https://www.list-org.com/company/14582546")</f>
        <v>https://www.list-org.com/company/14582546</v>
      </c>
      <c r="B1247" s="3" t="s">
        <v>5958</v>
      </c>
      <c r="C1247" s="3" t="s">
        <v>5959</v>
      </c>
      <c r="D1247" s="3" t="s">
        <v>14</v>
      </c>
      <c r="E1247" s="3" t="s">
        <v>5960</v>
      </c>
      <c r="F1247" s="3" t="s">
        <v>5961</v>
      </c>
      <c r="G1247" s="3"/>
      <c r="H1247" s="3" t="s">
        <v>5962</v>
      </c>
      <c r="I1247" s="4"/>
      <c r="J1247" s="4"/>
      <c r="K1247" s="4"/>
      <c r="L1247" s="4"/>
    </row>
    <row r="1248" spans="1:12" x14ac:dyDescent="0.25">
      <c r="A1248" s="2" t="str">
        <f>HYPERLINK("https://www.list-org.com/company/14583394","https://www.list-org.com/company/14583394")</f>
        <v>https://www.list-org.com/company/14583394</v>
      </c>
      <c r="B1248" s="3" t="s">
        <v>5963</v>
      </c>
      <c r="C1248" s="3" t="s">
        <v>5964</v>
      </c>
      <c r="D1248" s="3" t="s">
        <v>14</v>
      </c>
      <c r="E1248" s="3" t="s">
        <v>5965</v>
      </c>
      <c r="F1248" s="3" t="s">
        <v>5966</v>
      </c>
      <c r="G1248" s="3"/>
      <c r="H1248" s="3" t="s">
        <v>5967</v>
      </c>
      <c r="I1248" s="4"/>
      <c r="J1248" s="4"/>
      <c r="K1248" s="4"/>
      <c r="L1248" s="4"/>
    </row>
    <row r="1249" spans="1:12" x14ac:dyDescent="0.25">
      <c r="A1249" s="2" t="str">
        <f>HYPERLINK("https://www.list-org.com/company/14583846","https://www.list-org.com/company/14583846")</f>
        <v>https://www.list-org.com/company/14583846</v>
      </c>
      <c r="B1249" s="3" t="s">
        <v>5968</v>
      </c>
      <c r="C1249" s="3" t="s">
        <v>5969</v>
      </c>
      <c r="D1249" s="3" t="s">
        <v>14</v>
      </c>
      <c r="E1249" s="3" t="s">
        <v>5970</v>
      </c>
      <c r="F1249" s="3" t="s">
        <v>5971</v>
      </c>
      <c r="G1249" s="3"/>
      <c r="H1249" s="3" t="s">
        <v>5972</v>
      </c>
      <c r="I1249" s="4"/>
      <c r="J1249" s="4"/>
      <c r="K1249" s="4"/>
      <c r="L1249" s="4"/>
    </row>
    <row r="1250" spans="1:12" x14ac:dyDescent="0.25">
      <c r="A1250" s="2" t="str">
        <f>HYPERLINK("https://www.list-org.com/company/14584139","https://www.list-org.com/company/14584139")</f>
        <v>https://www.list-org.com/company/14584139</v>
      </c>
      <c r="B1250" s="3" t="s">
        <v>5973</v>
      </c>
      <c r="C1250" s="3" t="s">
        <v>5974</v>
      </c>
      <c r="D1250" s="3" t="s">
        <v>14</v>
      </c>
      <c r="E1250" s="3" t="s">
        <v>5975</v>
      </c>
      <c r="F1250" s="3" t="s">
        <v>5976</v>
      </c>
      <c r="G1250" s="3"/>
      <c r="H1250" s="3" t="s">
        <v>5977</v>
      </c>
      <c r="I1250" s="4"/>
      <c r="J1250" s="4"/>
      <c r="K1250" s="4"/>
      <c r="L1250" s="4"/>
    </row>
    <row r="1251" spans="1:12" x14ac:dyDescent="0.25">
      <c r="A1251" s="2" t="str">
        <f>HYPERLINK("https://www.list-org.com/company/14584301","https://www.list-org.com/company/14584301")</f>
        <v>https://www.list-org.com/company/14584301</v>
      </c>
      <c r="B1251" s="3" t="s">
        <v>5978</v>
      </c>
      <c r="C1251" s="3" t="s">
        <v>5979</v>
      </c>
      <c r="D1251" s="3" t="s">
        <v>14</v>
      </c>
      <c r="E1251" s="3" t="s">
        <v>5980</v>
      </c>
      <c r="F1251" s="3" t="s">
        <v>5981</v>
      </c>
      <c r="G1251" s="3"/>
      <c r="H1251" s="3" t="s">
        <v>4376</v>
      </c>
      <c r="I1251" s="4"/>
      <c r="J1251" s="4"/>
      <c r="K1251" s="4"/>
      <c r="L1251" s="4"/>
    </row>
    <row r="1252" spans="1:12" x14ac:dyDescent="0.25">
      <c r="A1252" s="2" t="str">
        <f>HYPERLINK("https://www.list-org.com/company/14584395","https://www.list-org.com/company/14584395")</f>
        <v>https://www.list-org.com/company/14584395</v>
      </c>
      <c r="B1252" s="3" t="s">
        <v>5982</v>
      </c>
      <c r="C1252" s="3" t="s">
        <v>5983</v>
      </c>
      <c r="D1252" s="3" t="s">
        <v>14</v>
      </c>
      <c r="E1252" s="3" t="s">
        <v>5984</v>
      </c>
      <c r="F1252" s="3" t="s">
        <v>5985</v>
      </c>
      <c r="G1252" s="3"/>
      <c r="H1252" s="3" t="s">
        <v>5986</v>
      </c>
      <c r="I1252" s="4"/>
      <c r="J1252" s="4"/>
      <c r="K1252" s="4"/>
      <c r="L1252" s="4"/>
    </row>
    <row r="1253" spans="1:12" x14ac:dyDescent="0.25">
      <c r="A1253" s="2" t="str">
        <f>HYPERLINK("https://www.list-org.com/company/14584936","https://www.list-org.com/company/14584936")</f>
        <v>https://www.list-org.com/company/14584936</v>
      </c>
      <c r="B1253" s="3" t="s">
        <v>5987</v>
      </c>
      <c r="C1253" s="3" t="s">
        <v>5988</v>
      </c>
      <c r="D1253" s="3" t="s">
        <v>14</v>
      </c>
      <c r="E1253" s="3" t="s">
        <v>5989</v>
      </c>
      <c r="F1253" s="3" t="s">
        <v>5990</v>
      </c>
      <c r="G1253" s="3"/>
      <c r="H1253" s="3" t="s">
        <v>933</v>
      </c>
      <c r="I1253" s="4"/>
      <c r="J1253" s="4"/>
      <c r="K1253" s="4"/>
      <c r="L1253" s="4"/>
    </row>
    <row r="1254" spans="1:12" x14ac:dyDescent="0.25">
      <c r="A1254" s="2" t="str">
        <f>HYPERLINK("https://www.list-org.com/company/14585010","https://www.list-org.com/company/14585010")</f>
        <v>https://www.list-org.com/company/14585010</v>
      </c>
      <c r="B1254" s="3" t="s">
        <v>5991</v>
      </c>
      <c r="C1254" s="3" t="s">
        <v>5992</v>
      </c>
      <c r="D1254" s="3" t="s">
        <v>14</v>
      </c>
      <c r="E1254" s="3" t="s">
        <v>5993</v>
      </c>
      <c r="F1254" s="3" t="s">
        <v>5994</v>
      </c>
      <c r="G1254" s="3"/>
      <c r="H1254" s="3" t="s">
        <v>5995</v>
      </c>
      <c r="I1254" s="4"/>
      <c r="J1254" s="4"/>
      <c r="K1254" s="4"/>
      <c r="L1254" s="4"/>
    </row>
    <row r="1255" spans="1:12" x14ac:dyDescent="0.25">
      <c r="A1255" s="2" t="str">
        <f>HYPERLINK("https://www.list-org.com/company/14585132","https://www.list-org.com/company/14585132")</f>
        <v>https://www.list-org.com/company/14585132</v>
      </c>
      <c r="B1255" s="3" t="s">
        <v>5996</v>
      </c>
      <c r="C1255" s="3" t="s">
        <v>5997</v>
      </c>
      <c r="D1255" s="3" t="s">
        <v>14</v>
      </c>
      <c r="E1255" s="3" t="s">
        <v>5998</v>
      </c>
      <c r="F1255" s="3" t="s">
        <v>5999</v>
      </c>
      <c r="G1255" s="3"/>
      <c r="H1255" s="3" t="s">
        <v>6000</v>
      </c>
      <c r="I1255" s="4"/>
      <c r="J1255" s="4"/>
      <c r="K1255" s="4"/>
      <c r="L1255" s="4"/>
    </row>
    <row r="1256" spans="1:12" x14ac:dyDescent="0.25">
      <c r="A1256" s="2" t="str">
        <f>HYPERLINK("https://www.list-org.com/company/14586695","https://www.list-org.com/company/14586695")</f>
        <v>https://www.list-org.com/company/14586695</v>
      </c>
      <c r="B1256" s="3" t="s">
        <v>6001</v>
      </c>
      <c r="C1256" s="3" t="s">
        <v>6002</v>
      </c>
      <c r="D1256" s="3" t="s">
        <v>14</v>
      </c>
      <c r="E1256" s="3" t="s">
        <v>6003</v>
      </c>
      <c r="F1256" s="3" t="s">
        <v>6004</v>
      </c>
      <c r="G1256" s="3"/>
      <c r="H1256" s="3" t="s">
        <v>725</v>
      </c>
      <c r="I1256" s="4"/>
      <c r="J1256" s="4"/>
      <c r="K1256" s="4"/>
      <c r="L1256" s="4"/>
    </row>
    <row r="1257" spans="1:12" x14ac:dyDescent="0.25">
      <c r="A1257" s="2" t="str">
        <f>HYPERLINK("https://www.list-org.com/company/14586944","https://www.list-org.com/company/14586944")</f>
        <v>https://www.list-org.com/company/14586944</v>
      </c>
      <c r="B1257" s="3" t="s">
        <v>6005</v>
      </c>
      <c r="C1257" s="3" t="s">
        <v>6006</v>
      </c>
      <c r="D1257" s="3" t="s">
        <v>14</v>
      </c>
      <c r="E1257" s="3" t="s">
        <v>6007</v>
      </c>
      <c r="F1257" s="3" t="s">
        <v>6008</v>
      </c>
      <c r="G1257" s="3"/>
      <c r="H1257" s="3" t="s">
        <v>4641</v>
      </c>
      <c r="I1257" s="4"/>
      <c r="J1257" s="4"/>
      <c r="K1257" s="4"/>
      <c r="L1257" s="4"/>
    </row>
    <row r="1258" spans="1:12" x14ac:dyDescent="0.25">
      <c r="A1258" s="2" t="str">
        <f>HYPERLINK("https://www.list-org.com/company/14587478","https://www.list-org.com/company/14587478")</f>
        <v>https://www.list-org.com/company/14587478</v>
      </c>
      <c r="B1258" s="3" t="s">
        <v>6009</v>
      </c>
      <c r="C1258" s="3" t="s">
        <v>6010</v>
      </c>
      <c r="D1258" s="3" t="s">
        <v>14</v>
      </c>
      <c r="E1258" s="3" t="s">
        <v>6011</v>
      </c>
      <c r="F1258" s="3" t="s">
        <v>6012</v>
      </c>
      <c r="G1258" s="3"/>
      <c r="H1258" s="3" t="s">
        <v>3201</v>
      </c>
      <c r="I1258" s="4"/>
      <c r="J1258" s="4"/>
      <c r="K1258" s="4"/>
      <c r="L1258" s="4"/>
    </row>
    <row r="1259" spans="1:12" x14ac:dyDescent="0.25">
      <c r="A1259" s="2" t="str">
        <f>HYPERLINK("https://www.list-org.com/company/14589388","https://www.list-org.com/company/14589388")</f>
        <v>https://www.list-org.com/company/14589388</v>
      </c>
      <c r="B1259" s="3" t="s">
        <v>6013</v>
      </c>
      <c r="C1259" s="3" t="s">
        <v>6014</v>
      </c>
      <c r="D1259" s="3" t="s">
        <v>14</v>
      </c>
      <c r="E1259" s="3" t="s">
        <v>6015</v>
      </c>
      <c r="F1259" s="3" t="s">
        <v>6016</v>
      </c>
      <c r="G1259" s="3"/>
      <c r="H1259" s="3" t="s">
        <v>6017</v>
      </c>
      <c r="I1259" s="4"/>
      <c r="J1259" s="4"/>
      <c r="K1259" s="4"/>
      <c r="L1259" s="4"/>
    </row>
    <row r="1260" spans="1:12" x14ac:dyDescent="0.25">
      <c r="A1260" s="2" t="str">
        <f>HYPERLINK("https://www.list-org.com/company/14589427","https://www.list-org.com/company/14589427")</f>
        <v>https://www.list-org.com/company/14589427</v>
      </c>
      <c r="B1260" s="3" t="s">
        <v>6018</v>
      </c>
      <c r="C1260" s="3" t="s">
        <v>6019</v>
      </c>
      <c r="D1260" s="3" t="s">
        <v>14</v>
      </c>
      <c r="E1260" s="3" t="s">
        <v>6020</v>
      </c>
      <c r="F1260" s="3" t="s">
        <v>6021</v>
      </c>
      <c r="G1260" s="3"/>
      <c r="H1260" s="3" t="s">
        <v>6022</v>
      </c>
      <c r="I1260" s="4"/>
      <c r="J1260" s="4"/>
      <c r="K1260" s="4"/>
      <c r="L1260" s="4"/>
    </row>
    <row r="1261" spans="1:12" x14ac:dyDescent="0.25">
      <c r="A1261" s="2" t="str">
        <f>HYPERLINK("https://www.list-org.com/company/14589928","https://www.list-org.com/company/14589928")</f>
        <v>https://www.list-org.com/company/14589928</v>
      </c>
      <c r="B1261" s="3" t="s">
        <v>6023</v>
      </c>
      <c r="C1261" s="3" t="s">
        <v>6024</v>
      </c>
      <c r="D1261" s="3" t="s">
        <v>14</v>
      </c>
      <c r="E1261" s="3" t="s">
        <v>6025</v>
      </c>
      <c r="F1261" s="3" t="s">
        <v>6026</v>
      </c>
      <c r="G1261" s="3"/>
      <c r="H1261" s="3" t="s">
        <v>6027</v>
      </c>
      <c r="I1261" s="4"/>
      <c r="J1261" s="4"/>
      <c r="K1261" s="4"/>
      <c r="L1261" s="4"/>
    </row>
    <row r="1262" spans="1:12" x14ac:dyDescent="0.25">
      <c r="A1262" s="2" t="str">
        <f>HYPERLINK("https://www.list-org.com/company/14590486","https://www.list-org.com/company/14590486")</f>
        <v>https://www.list-org.com/company/14590486</v>
      </c>
      <c r="B1262" s="3" t="s">
        <v>6028</v>
      </c>
      <c r="C1262" s="3" t="s">
        <v>6029</v>
      </c>
      <c r="D1262" s="3" t="s">
        <v>14</v>
      </c>
      <c r="E1262" s="3" t="s">
        <v>6030</v>
      </c>
      <c r="F1262" s="3" t="s">
        <v>6031</v>
      </c>
      <c r="G1262" s="3"/>
      <c r="H1262" s="3" t="s">
        <v>6032</v>
      </c>
      <c r="I1262" s="4"/>
      <c r="J1262" s="4"/>
      <c r="K1262" s="4"/>
      <c r="L1262" s="4"/>
    </row>
    <row r="1263" spans="1:12" x14ac:dyDescent="0.25">
      <c r="A1263" s="2" t="str">
        <f>HYPERLINK("https://www.list-org.com/company/14591066","https://www.list-org.com/company/14591066")</f>
        <v>https://www.list-org.com/company/14591066</v>
      </c>
      <c r="B1263" s="3" t="s">
        <v>6033</v>
      </c>
      <c r="C1263" s="3" t="s">
        <v>6034</v>
      </c>
      <c r="D1263" s="3" t="s">
        <v>14</v>
      </c>
      <c r="E1263" s="3" t="s">
        <v>6035</v>
      </c>
      <c r="F1263" s="3" t="s">
        <v>6036</v>
      </c>
      <c r="G1263" s="3"/>
      <c r="H1263" s="3" t="s">
        <v>6037</v>
      </c>
      <c r="I1263" s="4"/>
      <c r="J1263" s="4"/>
      <c r="K1263" s="4"/>
      <c r="L1263" s="4"/>
    </row>
    <row r="1264" spans="1:12" x14ac:dyDescent="0.25">
      <c r="A1264" s="2" t="str">
        <f>HYPERLINK("https://www.list-org.com/company/14592139","https://www.list-org.com/company/14592139")</f>
        <v>https://www.list-org.com/company/14592139</v>
      </c>
      <c r="B1264" s="3" t="s">
        <v>6038</v>
      </c>
      <c r="C1264" s="3" t="s">
        <v>6039</v>
      </c>
      <c r="D1264" s="3" t="s">
        <v>14</v>
      </c>
      <c r="E1264" s="3" t="s">
        <v>6040</v>
      </c>
      <c r="F1264" s="3" t="s">
        <v>6041</v>
      </c>
      <c r="G1264" s="3"/>
      <c r="H1264" s="3" t="s">
        <v>497</v>
      </c>
      <c r="I1264" s="4"/>
      <c r="J1264" s="4"/>
      <c r="K1264" s="4"/>
      <c r="L1264" s="4"/>
    </row>
    <row r="1265" spans="1:12" x14ac:dyDescent="0.25">
      <c r="A1265" s="2" t="str">
        <f>HYPERLINK("https://www.list-org.com/company/14592880","https://www.list-org.com/company/14592880")</f>
        <v>https://www.list-org.com/company/14592880</v>
      </c>
      <c r="B1265" s="3" t="s">
        <v>6042</v>
      </c>
      <c r="C1265" s="3" t="s">
        <v>6043</v>
      </c>
      <c r="D1265" s="3" t="s">
        <v>14</v>
      </c>
      <c r="E1265" s="3" t="s">
        <v>6044</v>
      </c>
      <c r="F1265" s="3" t="s">
        <v>6045</v>
      </c>
      <c r="G1265" s="3"/>
      <c r="H1265" s="3" t="s">
        <v>6046</v>
      </c>
      <c r="I1265" s="4"/>
      <c r="J1265" s="4"/>
      <c r="K1265" s="4"/>
      <c r="L1265" s="4"/>
    </row>
    <row r="1266" spans="1:12" x14ac:dyDescent="0.25">
      <c r="A1266" s="2" t="str">
        <f>HYPERLINK("https://www.list-org.com/company/14593245","https://www.list-org.com/company/14593245")</f>
        <v>https://www.list-org.com/company/14593245</v>
      </c>
      <c r="B1266" s="3" t="s">
        <v>6047</v>
      </c>
      <c r="C1266" s="3" t="s">
        <v>6048</v>
      </c>
      <c r="D1266" s="3" t="s">
        <v>14</v>
      </c>
      <c r="E1266" s="3" t="s">
        <v>6049</v>
      </c>
      <c r="F1266" s="3" t="s">
        <v>6050</v>
      </c>
      <c r="G1266" s="3"/>
      <c r="H1266" s="3" t="s">
        <v>1153</v>
      </c>
      <c r="I1266" s="4"/>
      <c r="J1266" s="4"/>
      <c r="K1266" s="4"/>
      <c r="L1266" s="4"/>
    </row>
    <row r="1267" spans="1:12" x14ac:dyDescent="0.25">
      <c r="A1267" s="2" t="str">
        <f>HYPERLINK("https://www.list-org.com/company/14594484","https://www.list-org.com/company/14594484")</f>
        <v>https://www.list-org.com/company/14594484</v>
      </c>
      <c r="B1267" s="3" t="s">
        <v>6051</v>
      </c>
      <c r="C1267" s="3" t="s">
        <v>6052</v>
      </c>
      <c r="D1267" s="3" t="s">
        <v>14</v>
      </c>
      <c r="E1267" s="3" t="s">
        <v>6053</v>
      </c>
      <c r="F1267" s="3" t="s">
        <v>6054</v>
      </c>
      <c r="G1267" s="3"/>
      <c r="H1267" s="3" t="s">
        <v>6055</v>
      </c>
      <c r="I1267" s="4"/>
      <c r="J1267" s="4"/>
      <c r="K1267" s="4"/>
      <c r="L1267" s="4"/>
    </row>
    <row r="1268" spans="1:12" x14ac:dyDescent="0.25">
      <c r="A1268" s="2" t="str">
        <f>HYPERLINK("https://www.list-org.com/company/14594746","https://www.list-org.com/company/14594746")</f>
        <v>https://www.list-org.com/company/14594746</v>
      </c>
      <c r="B1268" s="3" t="s">
        <v>6056</v>
      </c>
      <c r="C1268" s="3" t="s">
        <v>6057</v>
      </c>
      <c r="D1268" s="3" t="s">
        <v>14</v>
      </c>
      <c r="E1268" s="3" t="s">
        <v>6058</v>
      </c>
      <c r="F1268" s="3" t="s">
        <v>6059</v>
      </c>
      <c r="G1268" s="3"/>
      <c r="H1268" s="3" t="s">
        <v>6060</v>
      </c>
      <c r="I1268" s="4"/>
      <c r="J1268" s="4"/>
      <c r="K1268" s="4"/>
      <c r="L1268" s="4"/>
    </row>
    <row r="1269" spans="1:12" x14ac:dyDescent="0.25">
      <c r="A1269" s="2" t="str">
        <f>HYPERLINK("https://www.list-org.com/company/14594748","https://www.list-org.com/company/14594748")</f>
        <v>https://www.list-org.com/company/14594748</v>
      </c>
      <c r="B1269" s="3" t="s">
        <v>6061</v>
      </c>
      <c r="C1269" s="3" t="s">
        <v>6062</v>
      </c>
      <c r="D1269" s="3" t="s">
        <v>14</v>
      </c>
      <c r="E1269" s="3" t="s">
        <v>6063</v>
      </c>
      <c r="F1269" s="3" t="s">
        <v>6064</v>
      </c>
      <c r="G1269" s="3"/>
      <c r="H1269" s="3" t="s">
        <v>6065</v>
      </c>
      <c r="I1269" s="4"/>
      <c r="J1269" s="4"/>
      <c r="K1269" s="4"/>
      <c r="L1269" s="4"/>
    </row>
    <row r="1270" spans="1:12" x14ac:dyDescent="0.25">
      <c r="A1270" s="2" t="str">
        <f>HYPERLINK("https://www.list-org.com/company/14594749","https://www.list-org.com/company/14594749")</f>
        <v>https://www.list-org.com/company/14594749</v>
      </c>
      <c r="B1270" s="3" t="s">
        <v>6066</v>
      </c>
      <c r="C1270" s="3" t="s">
        <v>6067</v>
      </c>
      <c r="D1270" s="3" t="s">
        <v>14</v>
      </c>
      <c r="E1270" s="3" t="s">
        <v>6068</v>
      </c>
      <c r="F1270" s="3" t="s">
        <v>6069</v>
      </c>
      <c r="G1270" s="3"/>
      <c r="H1270" s="3" t="s">
        <v>4836</v>
      </c>
      <c r="I1270" s="4"/>
      <c r="J1270" s="4"/>
      <c r="K1270" s="4"/>
      <c r="L1270" s="4"/>
    </row>
    <row r="1271" spans="1:12" x14ac:dyDescent="0.25">
      <c r="A1271" s="2" t="str">
        <f>HYPERLINK("https://www.list-org.com/company/14594750","https://www.list-org.com/company/14594750")</f>
        <v>https://www.list-org.com/company/14594750</v>
      </c>
      <c r="B1271" s="3" t="s">
        <v>6070</v>
      </c>
      <c r="C1271" s="3" t="s">
        <v>6071</v>
      </c>
      <c r="D1271" s="3" t="s">
        <v>14</v>
      </c>
      <c r="E1271" s="3" t="s">
        <v>6072</v>
      </c>
      <c r="F1271" s="3" t="s">
        <v>6073</v>
      </c>
      <c r="G1271" s="3"/>
      <c r="H1271" s="3" t="s">
        <v>4867</v>
      </c>
      <c r="I1271" s="4"/>
      <c r="J1271" s="4"/>
      <c r="K1271" s="4"/>
      <c r="L1271" s="4"/>
    </row>
    <row r="1272" spans="1:12" x14ac:dyDescent="0.25">
      <c r="A1272" s="2" t="str">
        <f>HYPERLINK("https://www.list-org.com/company/14596962","https://www.list-org.com/company/14596962")</f>
        <v>https://www.list-org.com/company/14596962</v>
      </c>
      <c r="B1272" s="3" t="s">
        <v>6074</v>
      </c>
      <c r="C1272" s="3" t="s">
        <v>6075</v>
      </c>
      <c r="D1272" s="3" t="s">
        <v>14</v>
      </c>
      <c r="E1272" s="3" t="s">
        <v>6076</v>
      </c>
      <c r="F1272" s="3" t="s">
        <v>6077</v>
      </c>
      <c r="G1272" s="3"/>
      <c r="H1272" s="3" t="s">
        <v>682</v>
      </c>
      <c r="I1272" s="4"/>
      <c r="J1272" s="4"/>
      <c r="K1272" s="4"/>
      <c r="L1272" s="4"/>
    </row>
    <row r="1273" spans="1:12" x14ac:dyDescent="0.25">
      <c r="A1273" s="2" t="str">
        <f>HYPERLINK("https://www.list-org.com/company/14596986","https://www.list-org.com/company/14596986")</f>
        <v>https://www.list-org.com/company/14596986</v>
      </c>
      <c r="B1273" s="3" t="s">
        <v>6078</v>
      </c>
      <c r="C1273" s="3" t="s">
        <v>6079</v>
      </c>
      <c r="D1273" s="3" t="s">
        <v>14</v>
      </c>
      <c r="E1273" s="3" t="s">
        <v>6080</v>
      </c>
      <c r="F1273" s="3" t="s">
        <v>6081</v>
      </c>
      <c r="G1273" s="3"/>
      <c r="H1273" s="3" t="s">
        <v>6082</v>
      </c>
      <c r="I1273" s="4"/>
      <c r="J1273" s="4"/>
      <c r="K1273" s="4"/>
      <c r="L1273" s="4"/>
    </row>
    <row r="1274" spans="1:12" x14ac:dyDescent="0.25">
      <c r="A1274" s="2" t="str">
        <f>HYPERLINK("https://www.list-org.com/company/14597163","https://www.list-org.com/company/14597163")</f>
        <v>https://www.list-org.com/company/14597163</v>
      </c>
      <c r="B1274" s="3" t="s">
        <v>6083</v>
      </c>
      <c r="C1274" s="3" t="s">
        <v>6084</v>
      </c>
      <c r="D1274" s="3" t="s">
        <v>14</v>
      </c>
      <c r="E1274" s="3" t="s">
        <v>6085</v>
      </c>
      <c r="F1274" s="3" t="s">
        <v>6086</v>
      </c>
      <c r="G1274" s="3"/>
      <c r="H1274" s="3" t="s">
        <v>4641</v>
      </c>
      <c r="I1274" s="4"/>
      <c r="J1274" s="4"/>
      <c r="K1274" s="4"/>
      <c r="L1274" s="4"/>
    </row>
    <row r="1275" spans="1:12" x14ac:dyDescent="0.25">
      <c r="A1275" s="2" t="str">
        <f>HYPERLINK("https://www.list-org.com/company/14597433","https://www.list-org.com/company/14597433")</f>
        <v>https://www.list-org.com/company/14597433</v>
      </c>
      <c r="B1275" s="3" t="s">
        <v>6087</v>
      </c>
      <c r="C1275" s="3" t="s">
        <v>6088</v>
      </c>
      <c r="D1275" s="3" t="s">
        <v>14</v>
      </c>
      <c r="E1275" s="3" t="s">
        <v>6089</v>
      </c>
      <c r="F1275" s="3" t="s">
        <v>6090</v>
      </c>
      <c r="G1275" s="3"/>
      <c r="H1275" s="3" t="s">
        <v>6091</v>
      </c>
      <c r="I1275" s="4"/>
      <c r="J1275" s="4"/>
      <c r="K1275" s="4"/>
      <c r="L1275" s="4"/>
    </row>
    <row r="1276" spans="1:12" x14ac:dyDescent="0.25">
      <c r="A1276" s="2" t="str">
        <f>HYPERLINK("https://www.list-org.com/company/14599539","https://www.list-org.com/company/14599539")</f>
        <v>https://www.list-org.com/company/14599539</v>
      </c>
      <c r="B1276" s="3" t="s">
        <v>6092</v>
      </c>
      <c r="C1276" s="3" t="s">
        <v>6093</v>
      </c>
      <c r="D1276" s="3" t="s">
        <v>14</v>
      </c>
      <c r="E1276" s="3" t="s">
        <v>6094</v>
      </c>
      <c r="F1276" s="3" t="s">
        <v>6095</v>
      </c>
      <c r="G1276" s="3"/>
      <c r="H1276" s="3" t="s">
        <v>4020</v>
      </c>
      <c r="I1276" s="4"/>
      <c r="J1276" s="4"/>
      <c r="K1276" s="4"/>
      <c r="L1276" s="4"/>
    </row>
    <row r="1277" spans="1:12" x14ac:dyDescent="0.25">
      <c r="A1277" s="2" t="str">
        <f>HYPERLINK("https://www.list-org.com/company/14601171","https://www.list-org.com/company/14601171")</f>
        <v>https://www.list-org.com/company/14601171</v>
      </c>
      <c r="B1277" s="3" t="s">
        <v>6096</v>
      </c>
      <c r="C1277" s="3" t="s">
        <v>6097</v>
      </c>
      <c r="D1277" s="3" t="s">
        <v>14</v>
      </c>
      <c r="E1277" s="3" t="s">
        <v>6098</v>
      </c>
      <c r="F1277" s="3" t="s">
        <v>6099</v>
      </c>
      <c r="G1277" s="3"/>
      <c r="H1277" s="3" t="s">
        <v>6100</v>
      </c>
      <c r="I1277" s="4"/>
      <c r="J1277" s="4"/>
      <c r="K1277" s="4"/>
      <c r="L1277" s="4"/>
    </row>
    <row r="1278" spans="1:12" x14ac:dyDescent="0.25">
      <c r="A1278" s="2" t="str">
        <f>HYPERLINK("https://www.list-org.com/company/14601644","https://www.list-org.com/company/14601644")</f>
        <v>https://www.list-org.com/company/14601644</v>
      </c>
      <c r="B1278" s="3" t="s">
        <v>6101</v>
      </c>
      <c r="C1278" s="3" t="s">
        <v>6102</v>
      </c>
      <c r="D1278" s="3" t="s">
        <v>14</v>
      </c>
      <c r="E1278" s="3" t="s">
        <v>6103</v>
      </c>
      <c r="F1278" s="3" t="s">
        <v>6104</v>
      </c>
      <c r="G1278" s="3"/>
      <c r="H1278" s="3" t="s">
        <v>6105</v>
      </c>
      <c r="I1278" s="4"/>
      <c r="J1278" s="4"/>
      <c r="K1278" s="4"/>
      <c r="L1278" s="4"/>
    </row>
    <row r="1279" spans="1:12" x14ac:dyDescent="0.25">
      <c r="A1279" s="2" t="str">
        <f>HYPERLINK("https://www.list-org.com/company/14604584","https://www.list-org.com/company/14604584")</f>
        <v>https://www.list-org.com/company/14604584</v>
      </c>
      <c r="B1279" s="3" t="s">
        <v>6106</v>
      </c>
      <c r="C1279" s="3" t="s">
        <v>6107</v>
      </c>
      <c r="D1279" s="3" t="s">
        <v>14</v>
      </c>
      <c r="E1279" s="3" t="s">
        <v>6108</v>
      </c>
      <c r="F1279" s="3" t="s">
        <v>6109</v>
      </c>
      <c r="G1279" s="3"/>
      <c r="H1279" s="3" t="s">
        <v>6110</v>
      </c>
      <c r="I1279" s="4"/>
      <c r="J1279" s="4"/>
      <c r="K1279" s="4"/>
      <c r="L1279" s="4"/>
    </row>
    <row r="1280" spans="1:12" x14ac:dyDescent="0.25">
      <c r="A1280" s="2" t="str">
        <f>HYPERLINK("https://www.list-org.com/company/14605003","https://www.list-org.com/company/14605003")</f>
        <v>https://www.list-org.com/company/14605003</v>
      </c>
      <c r="B1280" s="3" t="s">
        <v>6111</v>
      </c>
      <c r="C1280" s="3" t="s">
        <v>6112</v>
      </c>
      <c r="D1280" s="3" t="s">
        <v>14</v>
      </c>
      <c r="E1280" s="3" t="s">
        <v>6113</v>
      </c>
      <c r="F1280" s="3" t="s">
        <v>6114</v>
      </c>
      <c r="G1280" s="3"/>
      <c r="H1280" s="3" t="s">
        <v>6115</v>
      </c>
      <c r="I1280" s="4"/>
      <c r="J1280" s="4"/>
      <c r="K1280" s="4"/>
      <c r="L1280" s="4"/>
    </row>
    <row r="1281" spans="1:12" x14ac:dyDescent="0.25">
      <c r="A1281" s="2" t="str">
        <f>HYPERLINK("https://www.list-org.com/company/14605150","https://www.list-org.com/company/14605150")</f>
        <v>https://www.list-org.com/company/14605150</v>
      </c>
      <c r="B1281" s="3" t="s">
        <v>6116</v>
      </c>
      <c r="C1281" s="3" t="s">
        <v>6117</v>
      </c>
      <c r="D1281" s="3" t="s">
        <v>14</v>
      </c>
      <c r="E1281" s="3" t="s">
        <v>6118</v>
      </c>
      <c r="F1281" s="3" t="s">
        <v>6119</v>
      </c>
      <c r="G1281" s="3"/>
      <c r="H1281" s="3" t="s">
        <v>1609</v>
      </c>
      <c r="I1281" s="4"/>
      <c r="J1281" s="4"/>
      <c r="K1281" s="4"/>
      <c r="L1281" s="4"/>
    </row>
    <row r="1282" spans="1:12" x14ac:dyDescent="0.25">
      <c r="A1282" s="2" t="str">
        <f>HYPERLINK("https://www.list-org.com/company/14605480","https://www.list-org.com/company/14605480")</f>
        <v>https://www.list-org.com/company/14605480</v>
      </c>
      <c r="B1282" s="3" t="s">
        <v>6120</v>
      </c>
      <c r="C1282" s="3" t="s">
        <v>6121</v>
      </c>
      <c r="D1282" s="3" t="s">
        <v>14</v>
      </c>
      <c r="E1282" s="3" t="s">
        <v>6122</v>
      </c>
      <c r="F1282" s="3" t="s">
        <v>6123</v>
      </c>
      <c r="G1282" s="3"/>
      <c r="H1282" s="3" t="s">
        <v>6124</v>
      </c>
      <c r="I1282" s="4"/>
      <c r="J1282" s="4"/>
      <c r="K1282" s="4"/>
      <c r="L1282" s="4"/>
    </row>
    <row r="1283" spans="1:12" x14ac:dyDescent="0.25">
      <c r="A1283" s="2" t="str">
        <f>HYPERLINK("https://www.list-org.com/company/14605922","https://www.list-org.com/company/14605922")</f>
        <v>https://www.list-org.com/company/14605922</v>
      </c>
      <c r="B1283" s="3" t="s">
        <v>6125</v>
      </c>
      <c r="C1283" s="3" t="s">
        <v>6126</v>
      </c>
      <c r="D1283" s="3" t="s">
        <v>14</v>
      </c>
      <c r="E1283" s="3" t="s">
        <v>6127</v>
      </c>
      <c r="F1283" s="3" t="s">
        <v>6128</v>
      </c>
      <c r="G1283" s="3"/>
      <c r="H1283" s="3" t="s">
        <v>4725</v>
      </c>
      <c r="I1283" s="4"/>
      <c r="J1283" s="4"/>
      <c r="K1283" s="4"/>
      <c r="L1283" s="4"/>
    </row>
    <row r="1284" spans="1:12" x14ac:dyDescent="0.25">
      <c r="A1284" s="2" t="str">
        <f>HYPERLINK("https://www.list-org.com/company/14608994","https://www.list-org.com/company/14608994")</f>
        <v>https://www.list-org.com/company/14608994</v>
      </c>
      <c r="B1284" s="3" t="s">
        <v>6129</v>
      </c>
      <c r="C1284" s="3" t="s">
        <v>6130</v>
      </c>
      <c r="D1284" s="3" t="s">
        <v>14</v>
      </c>
      <c r="E1284" s="3" t="s">
        <v>6131</v>
      </c>
      <c r="F1284" s="3" t="s">
        <v>6132</v>
      </c>
      <c r="G1284" s="3"/>
      <c r="H1284" s="3" t="s">
        <v>6133</v>
      </c>
      <c r="I1284" s="4"/>
      <c r="J1284" s="4"/>
      <c r="K1284" s="4"/>
      <c r="L1284" s="4"/>
    </row>
    <row r="1285" spans="1:12" x14ac:dyDescent="0.25">
      <c r="A1285" s="2" t="str">
        <f>HYPERLINK("https://www.list-org.com/company/14610684","https://www.list-org.com/company/14610684")</f>
        <v>https://www.list-org.com/company/14610684</v>
      </c>
      <c r="B1285" s="3" t="s">
        <v>6134</v>
      </c>
      <c r="C1285" s="3" t="s">
        <v>6135</v>
      </c>
      <c r="D1285" s="3" t="s">
        <v>14</v>
      </c>
      <c r="E1285" s="3" t="s">
        <v>6136</v>
      </c>
      <c r="F1285" s="3" t="s">
        <v>6137</v>
      </c>
      <c r="G1285" s="3"/>
      <c r="H1285" s="3" t="s">
        <v>6138</v>
      </c>
      <c r="I1285" s="4"/>
      <c r="J1285" s="4"/>
      <c r="K1285" s="4"/>
      <c r="L1285" s="4"/>
    </row>
    <row r="1286" spans="1:12" x14ac:dyDescent="0.25">
      <c r="A1286" s="2" t="str">
        <f>HYPERLINK("https://www.list-org.com/company/14610807","https://www.list-org.com/company/14610807")</f>
        <v>https://www.list-org.com/company/14610807</v>
      </c>
      <c r="B1286" s="3" t="s">
        <v>6139</v>
      </c>
      <c r="C1286" s="3" t="s">
        <v>6140</v>
      </c>
      <c r="D1286" s="3" t="s">
        <v>14</v>
      </c>
      <c r="E1286" s="3" t="s">
        <v>6141</v>
      </c>
      <c r="F1286" s="3" t="s">
        <v>6142</v>
      </c>
      <c r="G1286" s="3"/>
      <c r="H1286" s="3" t="s">
        <v>6143</v>
      </c>
      <c r="I1286" s="4"/>
      <c r="J1286" s="4"/>
      <c r="K1286" s="4"/>
      <c r="L1286" s="4"/>
    </row>
    <row r="1287" spans="1:12" x14ac:dyDescent="0.25">
      <c r="A1287" s="2" t="str">
        <f>HYPERLINK("https://www.list-org.com/company/14669054","https://www.list-org.com/company/14669054")</f>
        <v>https://www.list-org.com/company/14669054</v>
      </c>
      <c r="B1287" s="3" t="s">
        <v>6144</v>
      </c>
      <c r="C1287" s="3" t="s">
        <v>6145</v>
      </c>
      <c r="D1287" s="3" t="s">
        <v>14</v>
      </c>
      <c r="E1287" s="3" t="s">
        <v>6146</v>
      </c>
      <c r="F1287" s="3" t="s">
        <v>6147</v>
      </c>
      <c r="G1287" s="3"/>
      <c r="H1287" s="3" t="s">
        <v>6148</v>
      </c>
      <c r="I1287" s="4"/>
      <c r="J1287" s="4">
        <v>258</v>
      </c>
      <c r="K1287" s="4"/>
      <c r="L1287" s="4">
        <v>10</v>
      </c>
    </row>
    <row r="1288" spans="1:12" x14ac:dyDescent="0.25">
      <c r="A1288" s="2" t="str">
        <f>HYPERLINK("https://www.list-org.com/company/14669976","https://www.list-org.com/company/14669976")</f>
        <v>https://www.list-org.com/company/14669976</v>
      </c>
      <c r="B1288" s="3" t="s">
        <v>6149</v>
      </c>
      <c r="C1288" s="3" t="s">
        <v>6150</v>
      </c>
      <c r="D1288" s="3" t="s">
        <v>14</v>
      </c>
      <c r="E1288" s="3" t="s">
        <v>6151</v>
      </c>
      <c r="F1288" s="3" t="s">
        <v>6152</v>
      </c>
      <c r="G1288" s="3"/>
      <c r="H1288" s="3" t="s">
        <v>6153</v>
      </c>
      <c r="I1288" s="4"/>
      <c r="J1288" s="4"/>
      <c r="K1288" s="4"/>
      <c r="L1288" s="4"/>
    </row>
    <row r="1289" spans="1:12" x14ac:dyDescent="0.25">
      <c r="A1289" s="2" t="str">
        <f>HYPERLINK("https://www.list-org.com/company/14670874","https://www.list-org.com/company/14670874")</f>
        <v>https://www.list-org.com/company/14670874</v>
      </c>
      <c r="B1289" s="3" t="s">
        <v>6154</v>
      </c>
      <c r="C1289" s="3" t="s">
        <v>6155</v>
      </c>
      <c r="D1289" s="3" t="s">
        <v>14</v>
      </c>
      <c r="E1289" s="3" t="s">
        <v>6156</v>
      </c>
      <c r="F1289" s="3" t="s">
        <v>6157</v>
      </c>
      <c r="G1289" s="3"/>
      <c r="H1289" s="3" t="s">
        <v>6158</v>
      </c>
      <c r="I1289" s="4"/>
      <c r="J1289" s="4"/>
      <c r="K1289" s="4"/>
      <c r="L1289" s="4"/>
    </row>
    <row r="1290" spans="1:12" x14ac:dyDescent="0.25">
      <c r="A1290" s="2" t="str">
        <f>HYPERLINK("https://www.list-org.com/company/14671003","https://www.list-org.com/company/14671003")</f>
        <v>https://www.list-org.com/company/14671003</v>
      </c>
      <c r="B1290" s="3" t="s">
        <v>6159</v>
      </c>
      <c r="C1290" s="3" t="s">
        <v>6160</v>
      </c>
      <c r="D1290" s="3" t="s">
        <v>14</v>
      </c>
      <c r="E1290" s="3" t="s">
        <v>6161</v>
      </c>
      <c r="F1290" s="3" t="s">
        <v>6162</v>
      </c>
      <c r="G1290" s="3"/>
      <c r="H1290" s="3" t="s">
        <v>6163</v>
      </c>
      <c r="I1290" s="4"/>
      <c r="J1290" s="4"/>
      <c r="K1290" s="4"/>
      <c r="L1290" s="4"/>
    </row>
    <row r="1291" spans="1:12" x14ac:dyDescent="0.25">
      <c r="A1291" s="2" t="str">
        <f>HYPERLINK("https://www.list-org.com/company/14671113","https://www.list-org.com/company/14671113")</f>
        <v>https://www.list-org.com/company/14671113</v>
      </c>
      <c r="B1291" s="3" t="s">
        <v>6164</v>
      </c>
      <c r="C1291" s="3" t="s">
        <v>6165</v>
      </c>
      <c r="D1291" s="3" t="s">
        <v>14</v>
      </c>
      <c r="E1291" s="3" t="s">
        <v>6166</v>
      </c>
      <c r="F1291" s="3" t="s">
        <v>6167</v>
      </c>
      <c r="G1291" s="3"/>
      <c r="H1291" s="3" t="s">
        <v>6168</v>
      </c>
      <c r="I1291" s="4"/>
      <c r="J1291" s="4"/>
      <c r="K1291" s="4"/>
      <c r="L1291" s="4"/>
    </row>
    <row r="1292" spans="1:12" x14ac:dyDescent="0.25">
      <c r="A1292" s="2" t="str">
        <f>HYPERLINK("https://www.list-org.com/company/14671164","https://www.list-org.com/company/14671164")</f>
        <v>https://www.list-org.com/company/14671164</v>
      </c>
      <c r="B1292" s="3" t="s">
        <v>6169</v>
      </c>
      <c r="C1292" s="3" t="s">
        <v>6170</v>
      </c>
      <c r="D1292" s="3" t="s">
        <v>14</v>
      </c>
      <c r="E1292" s="3" t="s">
        <v>6171</v>
      </c>
      <c r="F1292" s="3" t="s">
        <v>6172</v>
      </c>
      <c r="G1292" s="3"/>
      <c r="H1292" s="3" t="s">
        <v>6173</v>
      </c>
      <c r="I1292" s="4"/>
      <c r="J1292" s="4"/>
      <c r="K1292" s="4"/>
      <c r="L1292" s="4"/>
    </row>
    <row r="1293" spans="1:12" x14ac:dyDescent="0.25">
      <c r="A1293" s="2" t="str">
        <f>HYPERLINK("https://www.list-org.com/company/14674022","https://www.list-org.com/company/14674022")</f>
        <v>https://www.list-org.com/company/14674022</v>
      </c>
      <c r="B1293" s="3" t="s">
        <v>6174</v>
      </c>
      <c r="C1293" s="3" t="s">
        <v>6175</v>
      </c>
      <c r="D1293" s="3" t="s">
        <v>14</v>
      </c>
      <c r="E1293" s="3" t="s">
        <v>6176</v>
      </c>
      <c r="F1293" s="3" t="s">
        <v>6177</v>
      </c>
      <c r="G1293" s="3"/>
      <c r="H1293" s="3" t="s">
        <v>6178</v>
      </c>
      <c r="I1293" s="4"/>
      <c r="J1293" s="4"/>
      <c r="K1293" s="4"/>
      <c r="L1293" s="4"/>
    </row>
    <row r="1294" spans="1:12" x14ac:dyDescent="0.25">
      <c r="A1294" s="2" t="str">
        <f>HYPERLINK("https://www.list-org.com/company/14674234","https://www.list-org.com/company/14674234")</f>
        <v>https://www.list-org.com/company/14674234</v>
      </c>
      <c r="B1294" s="3" t="s">
        <v>6179</v>
      </c>
      <c r="C1294" s="3" t="s">
        <v>6180</v>
      </c>
      <c r="D1294" s="3" t="s">
        <v>14</v>
      </c>
      <c r="E1294" s="3" t="s">
        <v>6181</v>
      </c>
      <c r="F1294" s="3" t="s">
        <v>6182</v>
      </c>
      <c r="G1294" s="3"/>
      <c r="H1294" s="3" t="s">
        <v>6183</v>
      </c>
      <c r="I1294" s="4"/>
      <c r="J1294" s="4"/>
      <c r="K1294" s="4"/>
      <c r="L1294" s="4"/>
    </row>
    <row r="1295" spans="1:12" x14ac:dyDescent="0.25">
      <c r="A1295" s="2" t="str">
        <f>HYPERLINK("https://www.list-org.com/company/14674305","https://www.list-org.com/company/14674305")</f>
        <v>https://www.list-org.com/company/14674305</v>
      </c>
      <c r="B1295" s="3" t="s">
        <v>6184</v>
      </c>
      <c r="C1295" s="3" t="s">
        <v>6185</v>
      </c>
      <c r="D1295" s="3" t="s">
        <v>14</v>
      </c>
      <c r="E1295" s="3" t="s">
        <v>6186</v>
      </c>
      <c r="F1295" s="3" t="s">
        <v>6187</v>
      </c>
      <c r="G1295" s="3"/>
      <c r="H1295" s="3" t="s">
        <v>716</v>
      </c>
      <c r="I1295" s="4"/>
      <c r="J1295" s="4"/>
      <c r="K1295" s="4"/>
      <c r="L1295" s="4"/>
    </row>
    <row r="1296" spans="1:12" x14ac:dyDescent="0.25">
      <c r="A1296" s="2" t="str">
        <f>HYPERLINK("https://www.list-org.com/company/14674938","https://www.list-org.com/company/14674938")</f>
        <v>https://www.list-org.com/company/14674938</v>
      </c>
      <c r="B1296" s="3" t="s">
        <v>6188</v>
      </c>
      <c r="C1296" s="3" t="s">
        <v>6189</v>
      </c>
      <c r="D1296" s="3" t="s">
        <v>14</v>
      </c>
      <c r="E1296" s="3" t="s">
        <v>6190</v>
      </c>
      <c r="F1296" s="3" t="s">
        <v>6191</v>
      </c>
      <c r="G1296" s="3"/>
      <c r="H1296" s="3" t="s">
        <v>6192</v>
      </c>
      <c r="I1296" s="4"/>
      <c r="J1296" s="4"/>
      <c r="K1296" s="4">
        <v>-148</v>
      </c>
      <c r="L1296" s="4">
        <v>10</v>
      </c>
    </row>
    <row r="1297" spans="1:12" x14ac:dyDescent="0.25">
      <c r="A1297" s="2" t="str">
        <f>HYPERLINK("https://www.list-org.com/company/14677009","https://www.list-org.com/company/14677009")</f>
        <v>https://www.list-org.com/company/14677009</v>
      </c>
      <c r="B1297" s="3" t="s">
        <v>6193</v>
      </c>
      <c r="C1297" s="3" t="s">
        <v>6194</v>
      </c>
      <c r="D1297" s="3" t="s">
        <v>14</v>
      </c>
      <c r="E1297" s="3" t="s">
        <v>6195</v>
      </c>
      <c r="F1297" s="3" t="s">
        <v>6196</v>
      </c>
      <c r="G1297" s="3"/>
      <c r="H1297" s="3" t="s">
        <v>1496</v>
      </c>
      <c r="I1297" s="4"/>
      <c r="J1297" s="4"/>
      <c r="K1297" s="4"/>
      <c r="L1297" s="4"/>
    </row>
    <row r="1298" spans="1:12" x14ac:dyDescent="0.25">
      <c r="A1298" s="2" t="str">
        <f>HYPERLINK("https://www.list-org.com/company/14677321","https://www.list-org.com/company/14677321")</f>
        <v>https://www.list-org.com/company/14677321</v>
      </c>
      <c r="B1298" s="3" t="s">
        <v>6197</v>
      </c>
      <c r="C1298" s="3" t="s">
        <v>6198</v>
      </c>
      <c r="D1298" s="3" t="s">
        <v>14</v>
      </c>
      <c r="E1298" s="3" t="s">
        <v>6199</v>
      </c>
      <c r="F1298" s="3" t="s">
        <v>6200</v>
      </c>
      <c r="G1298" s="3"/>
      <c r="H1298" s="3" t="s">
        <v>6201</v>
      </c>
      <c r="I1298" s="4"/>
      <c r="J1298" s="4"/>
      <c r="K1298" s="4"/>
      <c r="L1298" s="4"/>
    </row>
    <row r="1299" spans="1:12" x14ac:dyDescent="0.25">
      <c r="A1299" s="2" t="str">
        <f>HYPERLINK("https://www.list-org.com/company/14678381","https://www.list-org.com/company/14678381")</f>
        <v>https://www.list-org.com/company/14678381</v>
      </c>
      <c r="B1299" s="3" t="s">
        <v>6202</v>
      </c>
      <c r="C1299" s="3" t="s">
        <v>6203</v>
      </c>
      <c r="D1299" s="3" t="s">
        <v>14</v>
      </c>
      <c r="E1299" s="3" t="s">
        <v>6204</v>
      </c>
      <c r="F1299" s="3" t="s">
        <v>6205</v>
      </c>
      <c r="G1299" s="3"/>
      <c r="H1299" s="3" t="s">
        <v>6206</v>
      </c>
      <c r="I1299" s="4"/>
      <c r="J1299" s="4"/>
      <c r="K1299" s="4"/>
      <c r="L1299" s="4"/>
    </row>
    <row r="1300" spans="1:12" x14ac:dyDescent="0.25">
      <c r="A1300" s="2" t="str">
        <f>HYPERLINK("https://www.list-org.com/company/14678525","https://www.list-org.com/company/14678525")</f>
        <v>https://www.list-org.com/company/14678525</v>
      </c>
      <c r="B1300" s="3" t="s">
        <v>6207</v>
      </c>
      <c r="C1300" s="3" t="s">
        <v>6208</v>
      </c>
      <c r="D1300" s="3" t="s">
        <v>14</v>
      </c>
      <c r="E1300" s="3" t="s">
        <v>6209</v>
      </c>
      <c r="F1300" s="3" t="s">
        <v>6210</v>
      </c>
      <c r="G1300" s="3"/>
      <c r="H1300" s="3" t="s">
        <v>1241</v>
      </c>
      <c r="I1300" s="4"/>
      <c r="J1300" s="4"/>
      <c r="K1300" s="4"/>
      <c r="L1300" s="4"/>
    </row>
    <row r="1301" spans="1:12" x14ac:dyDescent="0.25">
      <c r="A1301" s="2" t="str">
        <f>HYPERLINK("https://www.list-org.com/company/14679367","https://www.list-org.com/company/14679367")</f>
        <v>https://www.list-org.com/company/14679367</v>
      </c>
      <c r="B1301" s="3" t="s">
        <v>6211</v>
      </c>
      <c r="C1301" s="3" t="s">
        <v>6212</v>
      </c>
      <c r="D1301" s="3" t="s">
        <v>14</v>
      </c>
      <c r="E1301" s="3" t="s">
        <v>6213</v>
      </c>
      <c r="F1301" s="3" t="s">
        <v>6214</v>
      </c>
      <c r="G1301" s="3"/>
      <c r="H1301" s="3" t="s">
        <v>6158</v>
      </c>
      <c r="I1301" s="4"/>
      <c r="J1301" s="4"/>
      <c r="K1301" s="4"/>
      <c r="L1301" s="4"/>
    </row>
    <row r="1302" spans="1:12" x14ac:dyDescent="0.25">
      <c r="A1302" s="2" t="str">
        <f>HYPERLINK("https://www.list-org.com/company/14679534","https://www.list-org.com/company/14679534")</f>
        <v>https://www.list-org.com/company/14679534</v>
      </c>
      <c r="B1302" s="3" t="s">
        <v>6215</v>
      </c>
      <c r="C1302" s="3" t="s">
        <v>6216</v>
      </c>
      <c r="D1302" s="3" t="s">
        <v>14</v>
      </c>
      <c r="E1302" s="3" t="s">
        <v>6217</v>
      </c>
      <c r="F1302" s="3" t="s">
        <v>6218</v>
      </c>
      <c r="G1302" s="3"/>
      <c r="H1302" s="3" t="s">
        <v>1153</v>
      </c>
      <c r="I1302" s="4"/>
      <c r="J1302" s="4"/>
      <c r="K1302" s="4"/>
      <c r="L1302" s="4"/>
    </row>
    <row r="1303" spans="1:12" x14ac:dyDescent="0.25">
      <c r="A1303" s="2" t="str">
        <f>HYPERLINK("https://www.list-org.com/company/14679758","https://www.list-org.com/company/14679758")</f>
        <v>https://www.list-org.com/company/14679758</v>
      </c>
      <c r="B1303" s="3" t="s">
        <v>6219</v>
      </c>
      <c r="C1303" s="3" t="s">
        <v>6220</v>
      </c>
      <c r="D1303" s="3" t="s">
        <v>14</v>
      </c>
      <c r="E1303" s="3" t="s">
        <v>6221</v>
      </c>
      <c r="F1303" s="3" t="s">
        <v>6222</v>
      </c>
      <c r="G1303" s="3"/>
      <c r="H1303" s="3" t="s">
        <v>6223</v>
      </c>
      <c r="I1303" s="4"/>
      <c r="J1303" s="4"/>
      <c r="K1303" s="4"/>
      <c r="L1303" s="4"/>
    </row>
    <row r="1304" spans="1:12" x14ac:dyDescent="0.25">
      <c r="A1304" s="2" t="str">
        <f>HYPERLINK("https://www.list-org.com/company/14679929","https://www.list-org.com/company/14679929")</f>
        <v>https://www.list-org.com/company/14679929</v>
      </c>
      <c r="B1304" s="3" t="s">
        <v>6224</v>
      </c>
      <c r="C1304" s="3" t="s">
        <v>6225</v>
      </c>
      <c r="D1304" s="3" t="s">
        <v>14</v>
      </c>
      <c r="E1304" s="3" t="s">
        <v>6226</v>
      </c>
      <c r="F1304" s="3" t="s">
        <v>6227</v>
      </c>
      <c r="G1304" s="3"/>
      <c r="H1304" s="3" t="s">
        <v>6228</v>
      </c>
      <c r="I1304" s="4"/>
      <c r="J1304" s="4"/>
      <c r="K1304" s="4"/>
      <c r="L1304" s="4"/>
    </row>
    <row r="1305" spans="1:12" x14ac:dyDescent="0.25">
      <c r="A1305" s="2" t="str">
        <f>HYPERLINK("https://www.list-org.com/company/14681609","https://www.list-org.com/company/14681609")</f>
        <v>https://www.list-org.com/company/14681609</v>
      </c>
      <c r="B1305" s="3" t="s">
        <v>6229</v>
      </c>
      <c r="C1305" s="3" t="s">
        <v>6230</v>
      </c>
      <c r="D1305" s="3" t="s">
        <v>14</v>
      </c>
      <c r="E1305" s="3" t="s">
        <v>6231</v>
      </c>
      <c r="F1305" s="3" t="s">
        <v>6232</v>
      </c>
      <c r="G1305" s="3"/>
      <c r="H1305" s="3" t="s">
        <v>6233</v>
      </c>
      <c r="I1305" s="4"/>
      <c r="J1305" s="4"/>
      <c r="K1305" s="4"/>
      <c r="L1305" s="4"/>
    </row>
    <row r="1306" spans="1:12" x14ac:dyDescent="0.25">
      <c r="A1306" s="2" t="str">
        <f>HYPERLINK("https://www.list-org.com/company/14681829","https://www.list-org.com/company/14681829")</f>
        <v>https://www.list-org.com/company/14681829</v>
      </c>
      <c r="B1306" s="3" t="s">
        <v>6234</v>
      </c>
      <c r="C1306" s="3" t="s">
        <v>6235</v>
      </c>
      <c r="D1306" s="3" t="s">
        <v>14</v>
      </c>
      <c r="E1306" s="3" t="s">
        <v>6236</v>
      </c>
      <c r="F1306" s="3" t="s">
        <v>6237</v>
      </c>
      <c r="G1306" s="3"/>
      <c r="H1306" s="3" t="s">
        <v>1829</v>
      </c>
      <c r="I1306" s="4"/>
      <c r="J1306" s="4"/>
      <c r="K1306" s="4"/>
      <c r="L1306" s="4"/>
    </row>
    <row r="1307" spans="1:12" x14ac:dyDescent="0.25">
      <c r="A1307" s="2" t="str">
        <f>HYPERLINK("https://www.list-org.com/company/14682437","https://www.list-org.com/company/14682437")</f>
        <v>https://www.list-org.com/company/14682437</v>
      </c>
      <c r="B1307" s="3" t="s">
        <v>6238</v>
      </c>
      <c r="C1307" s="3" t="s">
        <v>6239</v>
      </c>
      <c r="D1307" s="3" t="s">
        <v>14</v>
      </c>
      <c r="E1307" s="3" t="s">
        <v>6240</v>
      </c>
      <c r="F1307" s="3" t="s">
        <v>6241</v>
      </c>
      <c r="G1307" s="3"/>
      <c r="H1307" s="3" t="s">
        <v>6242</v>
      </c>
      <c r="I1307" s="4"/>
      <c r="J1307" s="4"/>
      <c r="K1307" s="4"/>
      <c r="L1307" s="4"/>
    </row>
    <row r="1308" spans="1:12" x14ac:dyDescent="0.25">
      <c r="A1308" s="2" t="str">
        <f>HYPERLINK("https://www.list-org.com/company/14682788","https://www.list-org.com/company/14682788")</f>
        <v>https://www.list-org.com/company/14682788</v>
      </c>
      <c r="B1308" s="3" t="s">
        <v>6243</v>
      </c>
      <c r="C1308" s="3" t="s">
        <v>6244</v>
      </c>
      <c r="D1308" s="3" t="s">
        <v>14</v>
      </c>
      <c r="E1308" s="3" t="s">
        <v>6245</v>
      </c>
      <c r="F1308" s="3" t="s">
        <v>6246</v>
      </c>
      <c r="G1308" s="3"/>
      <c r="H1308" s="3" t="s">
        <v>1329</v>
      </c>
      <c r="I1308" s="4"/>
      <c r="J1308" s="4"/>
      <c r="K1308" s="4"/>
      <c r="L1308" s="4"/>
    </row>
    <row r="1309" spans="1:12" x14ac:dyDescent="0.25">
      <c r="A1309" s="2" t="str">
        <f>HYPERLINK("https://www.list-org.com/company/14684517","https://www.list-org.com/company/14684517")</f>
        <v>https://www.list-org.com/company/14684517</v>
      </c>
      <c r="B1309" s="3" t="s">
        <v>2663</v>
      </c>
      <c r="C1309" s="3" t="s">
        <v>2664</v>
      </c>
      <c r="D1309" s="3" t="s">
        <v>14</v>
      </c>
      <c r="E1309" s="3" t="s">
        <v>6247</v>
      </c>
      <c r="F1309" s="3" t="s">
        <v>6248</v>
      </c>
      <c r="G1309" s="3"/>
      <c r="H1309" s="3" t="s">
        <v>6249</v>
      </c>
      <c r="I1309" s="4"/>
      <c r="J1309" s="4"/>
      <c r="K1309" s="4"/>
      <c r="L1309" s="4"/>
    </row>
    <row r="1310" spans="1:12" x14ac:dyDescent="0.25">
      <c r="A1310" s="2" t="str">
        <f>HYPERLINK("https://www.list-org.com/company/14684917","https://www.list-org.com/company/14684917")</f>
        <v>https://www.list-org.com/company/14684917</v>
      </c>
      <c r="B1310" s="3" t="s">
        <v>6250</v>
      </c>
      <c r="C1310" s="3" t="s">
        <v>6251</v>
      </c>
      <c r="D1310" s="3" t="s">
        <v>14</v>
      </c>
      <c r="E1310" s="3" t="s">
        <v>6252</v>
      </c>
      <c r="F1310" s="3" t="s">
        <v>6253</v>
      </c>
      <c r="G1310" s="3"/>
      <c r="H1310" s="3" t="s">
        <v>2541</v>
      </c>
      <c r="I1310" s="4"/>
      <c r="J1310" s="4">
        <v>243</v>
      </c>
      <c r="K1310" s="4">
        <v>-18</v>
      </c>
      <c r="L1310" s="4">
        <v>10</v>
      </c>
    </row>
    <row r="1311" spans="1:12" x14ac:dyDescent="0.25">
      <c r="A1311" s="2" t="str">
        <f>HYPERLINK("https://www.list-org.com/company/14685217","https://www.list-org.com/company/14685217")</f>
        <v>https://www.list-org.com/company/14685217</v>
      </c>
      <c r="B1311" s="3" t="s">
        <v>6254</v>
      </c>
      <c r="C1311" s="3" t="s">
        <v>6255</v>
      </c>
      <c r="D1311" s="3" t="s">
        <v>14</v>
      </c>
      <c r="E1311" s="3" t="s">
        <v>6256</v>
      </c>
      <c r="F1311" s="3" t="s">
        <v>6257</v>
      </c>
      <c r="G1311" s="3"/>
      <c r="H1311" s="3" t="s">
        <v>6258</v>
      </c>
      <c r="I1311" s="4"/>
      <c r="J1311" s="4"/>
      <c r="K1311" s="4"/>
      <c r="L1311" s="4"/>
    </row>
    <row r="1312" spans="1:12" x14ac:dyDescent="0.25">
      <c r="A1312" s="2" t="str">
        <f>HYPERLINK("https://www.list-org.com/company/14685615","https://www.list-org.com/company/14685615")</f>
        <v>https://www.list-org.com/company/14685615</v>
      </c>
      <c r="B1312" s="3" t="s">
        <v>6259</v>
      </c>
      <c r="C1312" s="3" t="s">
        <v>6260</v>
      </c>
      <c r="D1312" s="3" t="s">
        <v>14</v>
      </c>
      <c r="E1312" s="3" t="s">
        <v>6261</v>
      </c>
      <c r="F1312" s="3" t="s">
        <v>6262</v>
      </c>
      <c r="G1312" s="3"/>
      <c r="H1312" s="3" t="s">
        <v>6263</v>
      </c>
      <c r="I1312" s="4"/>
      <c r="J1312" s="4"/>
      <c r="K1312" s="4"/>
      <c r="L1312" s="4"/>
    </row>
    <row r="1313" spans="1:12" x14ac:dyDescent="0.25">
      <c r="A1313" s="2" t="str">
        <f>HYPERLINK("https://www.list-org.com/company/14742090","https://www.list-org.com/company/14742090")</f>
        <v>https://www.list-org.com/company/14742090</v>
      </c>
      <c r="B1313" s="3" t="s">
        <v>6264</v>
      </c>
      <c r="C1313" s="3" t="s">
        <v>6265</v>
      </c>
      <c r="D1313" s="3" t="s">
        <v>14</v>
      </c>
      <c r="E1313" s="3" t="s">
        <v>6266</v>
      </c>
      <c r="F1313" s="3" t="s">
        <v>6267</v>
      </c>
      <c r="G1313" s="3"/>
      <c r="H1313" s="3" t="s">
        <v>6268</v>
      </c>
      <c r="I1313" s="4"/>
      <c r="J1313" s="4"/>
      <c r="K1313" s="4"/>
      <c r="L1313" s="4"/>
    </row>
    <row r="1314" spans="1:12" x14ac:dyDescent="0.25">
      <c r="A1314" s="2" t="str">
        <f>HYPERLINK("https://www.list-org.com/company/14744822","https://www.list-org.com/company/14744822")</f>
        <v>https://www.list-org.com/company/14744822</v>
      </c>
      <c r="B1314" s="3" t="s">
        <v>6269</v>
      </c>
      <c r="C1314" s="3" t="s">
        <v>6270</v>
      </c>
      <c r="D1314" s="3" t="s">
        <v>14</v>
      </c>
      <c r="E1314" s="3" t="s">
        <v>6271</v>
      </c>
      <c r="F1314" s="3" t="s">
        <v>6272</v>
      </c>
      <c r="G1314" s="3"/>
      <c r="H1314" s="3" t="s">
        <v>6258</v>
      </c>
      <c r="I1314" s="4"/>
      <c r="J1314" s="4"/>
      <c r="K1314" s="4"/>
      <c r="L1314" s="4"/>
    </row>
    <row r="1315" spans="1:12" x14ac:dyDescent="0.25">
      <c r="A1315" s="2" t="str">
        <f>HYPERLINK("https://www.list-org.com/company/14745964","https://www.list-org.com/company/14745964")</f>
        <v>https://www.list-org.com/company/14745964</v>
      </c>
      <c r="B1315" s="3" t="s">
        <v>6273</v>
      </c>
      <c r="C1315" s="3" t="s">
        <v>6274</v>
      </c>
      <c r="D1315" s="3" t="s">
        <v>14</v>
      </c>
      <c r="E1315" s="3" t="s">
        <v>6275</v>
      </c>
      <c r="F1315" s="3" t="s">
        <v>6276</v>
      </c>
      <c r="G1315" s="3"/>
      <c r="H1315" s="3" t="s">
        <v>6277</v>
      </c>
      <c r="I1315" s="4"/>
      <c r="J1315" s="4"/>
      <c r="K1315" s="4"/>
      <c r="L1315" s="4"/>
    </row>
    <row r="1316" spans="1:12" x14ac:dyDescent="0.25">
      <c r="A1316" s="2" t="str">
        <f>HYPERLINK("https://www.list-org.com/company/14746137","https://www.list-org.com/company/14746137")</f>
        <v>https://www.list-org.com/company/14746137</v>
      </c>
      <c r="B1316" s="3" t="s">
        <v>6278</v>
      </c>
      <c r="C1316" s="3" t="s">
        <v>6279</v>
      </c>
      <c r="D1316" s="3" t="s">
        <v>14</v>
      </c>
      <c r="E1316" s="3" t="s">
        <v>6280</v>
      </c>
      <c r="F1316" s="3" t="s">
        <v>6281</v>
      </c>
      <c r="G1316" s="3"/>
      <c r="H1316" s="3" t="s">
        <v>6282</v>
      </c>
      <c r="I1316" s="4"/>
      <c r="J1316" s="4"/>
      <c r="K1316" s="4"/>
      <c r="L1316" s="4"/>
    </row>
    <row r="1317" spans="1:12" x14ac:dyDescent="0.25">
      <c r="A1317" s="2" t="str">
        <f>HYPERLINK("https://www.list-org.com/company/14747379","https://www.list-org.com/company/14747379")</f>
        <v>https://www.list-org.com/company/14747379</v>
      </c>
      <c r="B1317" s="3" t="s">
        <v>6283</v>
      </c>
      <c r="C1317" s="3" t="s">
        <v>6284</v>
      </c>
      <c r="D1317" s="3" t="s">
        <v>14</v>
      </c>
      <c r="E1317" s="3" t="s">
        <v>6285</v>
      </c>
      <c r="F1317" s="3" t="s">
        <v>6286</v>
      </c>
      <c r="G1317" s="3"/>
      <c r="H1317" s="3" t="s">
        <v>6287</v>
      </c>
      <c r="I1317" s="4"/>
      <c r="J1317" s="4"/>
      <c r="K1317" s="4"/>
      <c r="L1317" s="4"/>
    </row>
    <row r="1318" spans="1:12" x14ac:dyDescent="0.25">
      <c r="A1318" s="2" t="str">
        <f>HYPERLINK("https://www.list-org.com/company/14747826","https://www.list-org.com/company/14747826")</f>
        <v>https://www.list-org.com/company/14747826</v>
      </c>
      <c r="B1318" s="3" t="s">
        <v>6288</v>
      </c>
      <c r="C1318" s="3" t="s">
        <v>6289</v>
      </c>
      <c r="D1318" s="3" t="s">
        <v>14</v>
      </c>
      <c r="E1318" s="3" t="s">
        <v>6290</v>
      </c>
      <c r="F1318" s="3" t="s">
        <v>6291</v>
      </c>
      <c r="G1318" s="3"/>
      <c r="H1318" s="3" t="s">
        <v>6292</v>
      </c>
      <c r="I1318" s="4"/>
      <c r="J1318" s="4"/>
      <c r="K1318" s="4"/>
      <c r="L1318" s="4"/>
    </row>
    <row r="1319" spans="1:12" x14ac:dyDescent="0.25">
      <c r="A1319" s="2" t="str">
        <f>HYPERLINK("https://www.list-org.com/company/14748149","https://www.list-org.com/company/14748149")</f>
        <v>https://www.list-org.com/company/14748149</v>
      </c>
      <c r="B1319" s="3" t="s">
        <v>6293</v>
      </c>
      <c r="C1319" s="3" t="s">
        <v>6294</v>
      </c>
      <c r="D1319" s="3" t="s">
        <v>14</v>
      </c>
      <c r="E1319" s="3" t="s">
        <v>6295</v>
      </c>
      <c r="F1319" s="3" t="s">
        <v>6296</v>
      </c>
      <c r="G1319" s="3"/>
      <c r="H1319" s="3" t="s">
        <v>6297</v>
      </c>
      <c r="I1319" s="4"/>
      <c r="J1319" s="4"/>
      <c r="K1319" s="4"/>
      <c r="L1319" s="4">
        <v>100</v>
      </c>
    </row>
    <row r="1320" spans="1:12" x14ac:dyDescent="0.25">
      <c r="A1320" s="2" t="str">
        <f>HYPERLINK("https://www.list-org.com/company/14748349","https://www.list-org.com/company/14748349")</f>
        <v>https://www.list-org.com/company/14748349</v>
      </c>
      <c r="B1320" s="3" t="s">
        <v>6298</v>
      </c>
      <c r="C1320" s="3" t="s">
        <v>6299</v>
      </c>
      <c r="D1320" s="3" t="s">
        <v>14</v>
      </c>
      <c r="E1320" s="3" t="s">
        <v>6300</v>
      </c>
      <c r="F1320" s="3" t="s">
        <v>6301</v>
      </c>
      <c r="G1320" s="3"/>
      <c r="H1320" s="3" t="s">
        <v>6302</v>
      </c>
      <c r="I1320" s="4"/>
      <c r="J1320" s="4"/>
      <c r="K1320" s="4"/>
      <c r="L1320" s="4"/>
    </row>
    <row r="1321" spans="1:12" x14ac:dyDescent="0.25">
      <c r="A1321" s="2" t="str">
        <f>HYPERLINK("https://www.list-org.com/company/14748619","https://www.list-org.com/company/14748619")</f>
        <v>https://www.list-org.com/company/14748619</v>
      </c>
      <c r="B1321" s="3" t="s">
        <v>6303</v>
      </c>
      <c r="C1321" s="3" t="s">
        <v>6304</v>
      </c>
      <c r="D1321" s="3" t="s">
        <v>14</v>
      </c>
      <c r="E1321" s="3" t="s">
        <v>6305</v>
      </c>
      <c r="F1321" s="3" t="s">
        <v>6306</v>
      </c>
      <c r="G1321" s="3"/>
      <c r="H1321" s="3" t="s">
        <v>6307</v>
      </c>
      <c r="I1321" s="4"/>
      <c r="J1321" s="4"/>
      <c r="K1321" s="4"/>
      <c r="L1321" s="4"/>
    </row>
    <row r="1322" spans="1:12" x14ac:dyDescent="0.25">
      <c r="A1322" s="2" t="str">
        <f>HYPERLINK("https://www.list-org.com/company/14750554","https://www.list-org.com/company/14750554")</f>
        <v>https://www.list-org.com/company/14750554</v>
      </c>
      <c r="B1322" s="3" t="s">
        <v>6308</v>
      </c>
      <c r="C1322" s="3" t="s">
        <v>6309</v>
      </c>
      <c r="D1322" s="3" t="s">
        <v>14</v>
      </c>
      <c r="E1322" s="3" t="s">
        <v>6310</v>
      </c>
      <c r="F1322" s="3" t="s">
        <v>6311</v>
      </c>
      <c r="G1322" s="3"/>
      <c r="H1322" s="3" t="s">
        <v>6312</v>
      </c>
      <c r="I1322" s="4"/>
      <c r="J1322" s="4"/>
      <c r="K1322" s="4"/>
      <c r="L1322" s="4"/>
    </row>
    <row r="1323" spans="1:12" x14ac:dyDescent="0.25">
      <c r="A1323" s="2" t="str">
        <f>HYPERLINK("https://www.list-org.com/company/14752614","https://www.list-org.com/company/14752614")</f>
        <v>https://www.list-org.com/company/14752614</v>
      </c>
      <c r="B1323" s="3" t="s">
        <v>6313</v>
      </c>
      <c r="C1323" s="3" t="s">
        <v>6314</v>
      </c>
      <c r="D1323" s="3" t="s">
        <v>14</v>
      </c>
      <c r="E1323" s="3" t="s">
        <v>6315</v>
      </c>
      <c r="F1323" s="3" t="s">
        <v>6316</v>
      </c>
      <c r="G1323" s="3"/>
      <c r="H1323" s="3" t="s">
        <v>6317</v>
      </c>
      <c r="I1323" s="4"/>
      <c r="J1323" s="4"/>
      <c r="K1323" s="4"/>
      <c r="L1323" s="4"/>
    </row>
    <row r="1324" spans="1:12" x14ac:dyDescent="0.25">
      <c r="A1324" s="2" t="str">
        <f>HYPERLINK("https://www.list-org.com/company/14753255","https://www.list-org.com/company/14753255")</f>
        <v>https://www.list-org.com/company/14753255</v>
      </c>
      <c r="B1324" s="3" t="s">
        <v>6318</v>
      </c>
      <c r="C1324" s="3" t="s">
        <v>6319</v>
      </c>
      <c r="D1324" s="3" t="s">
        <v>14</v>
      </c>
      <c r="E1324" s="3" t="s">
        <v>6320</v>
      </c>
      <c r="F1324" s="3" t="s">
        <v>6321</v>
      </c>
      <c r="G1324" s="3"/>
      <c r="H1324" s="3" t="s">
        <v>1289</v>
      </c>
      <c r="I1324" s="4"/>
      <c r="J1324" s="4"/>
      <c r="K1324" s="4"/>
      <c r="L1324" s="4"/>
    </row>
    <row r="1325" spans="1:12" x14ac:dyDescent="0.25">
      <c r="A1325" s="2" t="str">
        <f>HYPERLINK("https://www.list-org.com/company/14753451","https://www.list-org.com/company/14753451")</f>
        <v>https://www.list-org.com/company/14753451</v>
      </c>
      <c r="B1325" s="3" t="s">
        <v>4223</v>
      </c>
      <c r="C1325" s="3" t="s">
        <v>4224</v>
      </c>
      <c r="D1325" s="3" t="s">
        <v>14</v>
      </c>
      <c r="E1325" s="3" t="s">
        <v>6322</v>
      </c>
      <c r="F1325" s="3" t="s">
        <v>6323</v>
      </c>
      <c r="G1325" s="3"/>
      <c r="H1325" s="3" t="s">
        <v>6324</v>
      </c>
      <c r="I1325" s="4"/>
      <c r="J1325" s="4"/>
      <c r="K1325" s="4"/>
      <c r="L1325" s="4"/>
    </row>
    <row r="1326" spans="1:12" x14ac:dyDescent="0.25">
      <c r="A1326" s="2" t="str">
        <f>HYPERLINK("https://www.list-org.com/company/14753701","https://www.list-org.com/company/14753701")</f>
        <v>https://www.list-org.com/company/14753701</v>
      </c>
      <c r="B1326" s="3" t="s">
        <v>6325</v>
      </c>
      <c r="C1326" s="3" t="s">
        <v>6326</v>
      </c>
      <c r="D1326" s="3" t="s">
        <v>14</v>
      </c>
      <c r="E1326" s="3" t="s">
        <v>6327</v>
      </c>
      <c r="F1326" s="3" t="s">
        <v>6328</v>
      </c>
      <c r="G1326" s="3"/>
      <c r="H1326" s="3" t="s">
        <v>6329</v>
      </c>
      <c r="I1326" s="4"/>
      <c r="J1326" s="4"/>
      <c r="K1326" s="4"/>
      <c r="L1326" s="4"/>
    </row>
    <row r="1327" spans="1:12" x14ac:dyDescent="0.25">
      <c r="A1327" s="2" t="str">
        <f>HYPERLINK("https://www.list-org.com/company/14754182","https://www.list-org.com/company/14754182")</f>
        <v>https://www.list-org.com/company/14754182</v>
      </c>
      <c r="B1327" s="3" t="s">
        <v>6330</v>
      </c>
      <c r="C1327" s="3" t="s">
        <v>6331</v>
      </c>
      <c r="D1327" s="3" t="s">
        <v>14</v>
      </c>
      <c r="E1327" s="3" t="s">
        <v>6332</v>
      </c>
      <c r="F1327" s="3" t="s">
        <v>6333</v>
      </c>
      <c r="G1327" s="3"/>
      <c r="H1327" s="3" t="s">
        <v>6334</v>
      </c>
      <c r="I1327" s="4"/>
      <c r="J1327" s="4"/>
      <c r="K1327" s="4"/>
      <c r="L1327" s="4"/>
    </row>
    <row r="1328" spans="1:12" x14ac:dyDescent="0.25">
      <c r="A1328" s="2" t="str">
        <f>HYPERLINK("https://www.list-org.com/company/14754219","https://www.list-org.com/company/14754219")</f>
        <v>https://www.list-org.com/company/14754219</v>
      </c>
      <c r="B1328" s="3" t="s">
        <v>6335</v>
      </c>
      <c r="C1328" s="3" t="s">
        <v>6336</v>
      </c>
      <c r="D1328" s="3" t="s">
        <v>14</v>
      </c>
      <c r="E1328" s="3" t="s">
        <v>6337</v>
      </c>
      <c r="F1328" s="3" t="s">
        <v>6338</v>
      </c>
      <c r="G1328" s="3"/>
      <c r="H1328" s="3" t="s">
        <v>2541</v>
      </c>
      <c r="I1328" s="4"/>
      <c r="J1328" s="4">
        <v>4629</v>
      </c>
      <c r="K1328" s="4">
        <v>258</v>
      </c>
      <c r="L1328" s="4">
        <v>268</v>
      </c>
    </row>
    <row r="1329" spans="1:12" x14ac:dyDescent="0.25">
      <c r="A1329" s="2" t="str">
        <f>HYPERLINK("https://www.list-org.com/company/14754225","https://www.list-org.com/company/14754225")</f>
        <v>https://www.list-org.com/company/14754225</v>
      </c>
      <c r="B1329" s="3" t="s">
        <v>6339</v>
      </c>
      <c r="C1329" s="3" t="s">
        <v>6340</v>
      </c>
      <c r="D1329" s="3" t="s">
        <v>14</v>
      </c>
      <c r="E1329" s="3" t="s">
        <v>6341</v>
      </c>
      <c r="F1329" s="3" t="s">
        <v>6342</v>
      </c>
      <c r="G1329" s="3"/>
      <c r="H1329" s="3" t="s">
        <v>5723</v>
      </c>
      <c r="I1329" s="4"/>
      <c r="J1329" s="4"/>
      <c r="K1329" s="4"/>
      <c r="L1329" s="4"/>
    </row>
    <row r="1330" spans="1:12" x14ac:dyDescent="0.25">
      <c r="A1330" s="2" t="str">
        <f>HYPERLINK("https://www.list-org.com/company/14754317","https://www.list-org.com/company/14754317")</f>
        <v>https://www.list-org.com/company/14754317</v>
      </c>
      <c r="B1330" s="3" t="s">
        <v>6343</v>
      </c>
      <c r="C1330" s="3" t="s">
        <v>6344</v>
      </c>
      <c r="D1330" s="3" t="s">
        <v>14</v>
      </c>
      <c r="E1330" s="3" t="s">
        <v>6345</v>
      </c>
      <c r="F1330" s="3" t="s">
        <v>6346</v>
      </c>
      <c r="G1330" s="3"/>
      <c r="H1330" s="3" t="s">
        <v>6347</v>
      </c>
      <c r="I1330" s="4"/>
      <c r="J1330" s="4"/>
      <c r="K1330" s="4"/>
      <c r="L1330" s="4"/>
    </row>
    <row r="1331" spans="1:12" x14ac:dyDescent="0.25">
      <c r="A1331" s="2" t="str">
        <f>HYPERLINK("https://www.list-org.com/company/14755077","https://www.list-org.com/company/14755077")</f>
        <v>https://www.list-org.com/company/14755077</v>
      </c>
      <c r="B1331" s="3" t="s">
        <v>6348</v>
      </c>
      <c r="C1331" s="3" t="s">
        <v>6349</v>
      </c>
      <c r="D1331" s="3" t="s">
        <v>14</v>
      </c>
      <c r="E1331" s="3" t="s">
        <v>6350</v>
      </c>
      <c r="F1331" s="3" t="s">
        <v>6351</v>
      </c>
      <c r="G1331" s="3"/>
      <c r="H1331" s="3" t="s">
        <v>6352</v>
      </c>
      <c r="I1331" s="4"/>
      <c r="J1331" s="4"/>
      <c r="K1331" s="4"/>
      <c r="L1331" s="4"/>
    </row>
    <row r="1332" spans="1:12" x14ac:dyDescent="0.25">
      <c r="A1332" s="2" t="str">
        <f>HYPERLINK("https://www.list-org.com/company/14755478","https://www.list-org.com/company/14755478")</f>
        <v>https://www.list-org.com/company/14755478</v>
      </c>
      <c r="B1332" s="3" t="s">
        <v>6353</v>
      </c>
      <c r="C1332" s="3" t="s">
        <v>6354</v>
      </c>
      <c r="D1332" s="3" t="s">
        <v>14</v>
      </c>
      <c r="E1332" s="3" t="s">
        <v>6355</v>
      </c>
      <c r="F1332" s="3" t="s">
        <v>6356</v>
      </c>
      <c r="G1332" s="3"/>
      <c r="H1332" s="3" t="s">
        <v>6357</v>
      </c>
      <c r="I1332" s="4"/>
      <c r="J1332" s="4"/>
      <c r="K1332" s="4"/>
      <c r="L1332" s="4"/>
    </row>
    <row r="1333" spans="1:12" x14ac:dyDescent="0.25">
      <c r="A1333" s="2" t="str">
        <f>HYPERLINK("https://www.list-org.com/company/14756974","https://www.list-org.com/company/14756974")</f>
        <v>https://www.list-org.com/company/14756974</v>
      </c>
      <c r="B1333" s="3" t="s">
        <v>6358</v>
      </c>
      <c r="C1333" s="3" t="s">
        <v>6359</v>
      </c>
      <c r="D1333" s="3" t="s">
        <v>14</v>
      </c>
      <c r="E1333" s="3" t="s">
        <v>6360</v>
      </c>
      <c r="F1333" s="3" t="s">
        <v>6361</v>
      </c>
      <c r="G1333" s="3"/>
      <c r="H1333" s="3" t="s">
        <v>6362</v>
      </c>
      <c r="I1333" s="4"/>
      <c r="J1333" s="4"/>
      <c r="K1333" s="4"/>
      <c r="L1333" s="4"/>
    </row>
    <row r="1334" spans="1:12" x14ac:dyDescent="0.25">
      <c r="A1334" s="2" t="str">
        <f>HYPERLINK("https://www.list-org.com/company/14757096","https://www.list-org.com/company/14757096")</f>
        <v>https://www.list-org.com/company/14757096</v>
      </c>
      <c r="B1334" s="3" t="s">
        <v>6363</v>
      </c>
      <c r="C1334" s="3" t="s">
        <v>6364</v>
      </c>
      <c r="D1334" s="3" t="s">
        <v>14</v>
      </c>
      <c r="E1334" s="3" t="s">
        <v>6365</v>
      </c>
      <c r="F1334" s="3" t="s">
        <v>6366</v>
      </c>
      <c r="G1334" s="3"/>
      <c r="H1334" s="3" t="s">
        <v>6367</v>
      </c>
      <c r="I1334" s="4"/>
      <c r="J1334" s="4"/>
      <c r="K1334" s="4"/>
      <c r="L1334" s="4"/>
    </row>
    <row r="1335" spans="1:12" x14ac:dyDescent="0.25">
      <c r="A1335" s="2" t="str">
        <f>HYPERLINK("https://www.list-org.com/company/14758783","https://www.list-org.com/company/14758783")</f>
        <v>https://www.list-org.com/company/14758783</v>
      </c>
      <c r="B1335" s="3" t="s">
        <v>5806</v>
      </c>
      <c r="C1335" s="3" t="s">
        <v>5807</v>
      </c>
      <c r="D1335" s="3" t="s">
        <v>14</v>
      </c>
      <c r="E1335" s="3" t="s">
        <v>6368</v>
      </c>
      <c r="F1335" s="3" t="s">
        <v>6369</v>
      </c>
      <c r="G1335" s="3"/>
      <c r="H1335" s="3" t="s">
        <v>6370</v>
      </c>
      <c r="I1335" s="4"/>
      <c r="J1335" s="4"/>
      <c r="K1335" s="4"/>
      <c r="L1335" s="4"/>
    </row>
    <row r="1336" spans="1:12" x14ac:dyDescent="0.25">
      <c r="A1336" s="2" t="str">
        <f>HYPERLINK("https://www.list-org.com/company/14758986","https://www.list-org.com/company/14758986")</f>
        <v>https://www.list-org.com/company/14758986</v>
      </c>
      <c r="B1336" s="3" t="s">
        <v>6371</v>
      </c>
      <c r="C1336" s="3" t="s">
        <v>6372</v>
      </c>
      <c r="D1336" s="3" t="s">
        <v>14</v>
      </c>
      <c r="E1336" s="3" t="s">
        <v>6373</v>
      </c>
      <c r="F1336" s="3" t="s">
        <v>6374</v>
      </c>
      <c r="G1336" s="3"/>
      <c r="H1336" s="3" t="s">
        <v>6375</v>
      </c>
      <c r="I1336" s="4"/>
      <c r="J1336" s="4"/>
      <c r="K1336" s="4"/>
      <c r="L1336" s="4"/>
    </row>
    <row r="1337" spans="1:12" x14ac:dyDescent="0.25">
      <c r="A1337" s="2" t="str">
        <f>HYPERLINK("https://www.list-org.com/company/14759059","https://www.list-org.com/company/14759059")</f>
        <v>https://www.list-org.com/company/14759059</v>
      </c>
      <c r="B1337" s="3" t="s">
        <v>6376</v>
      </c>
      <c r="C1337" s="3" t="s">
        <v>6377</v>
      </c>
      <c r="D1337" s="3" t="s">
        <v>14</v>
      </c>
      <c r="E1337" s="3" t="s">
        <v>6378</v>
      </c>
      <c r="F1337" s="3" t="s">
        <v>6379</v>
      </c>
      <c r="G1337" s="3"/>
      <c r="H1337" s="3" t="s">
        <v>3216</v>
      </c>
      <c r="I1337" s="4"/>
      <c r="J1337" s="4">
        <v>60383</v>
      </c>
      <c r="K1337" s="4">
        <v>37</v>
      </c>
      <c r="L1337" s="4">
        <v>46</v>
      </c>
    </row>
    <row r="1338" spans="1:12" x14ac:dyDescent="0.25">
      <c r="A1338" s="2" t="str">
        <f>HYPERLINK("https://www.list-org.com/company/14760042","https://www.list-org.com/company/14760042")</f>
        <v>https://www.list-org.com/company/14760042</v>
      </c>
      <c r="B1338" s="3" t="s">
        <v>6380</v>
      </c>
      <c r="C1338" s="3" t="s">
        <v>6381</v>
      </c>
      <c r="D1338" s="3" t="s">
        <v>14</v>
      </c>
      <c r="E1338" s="3" t="s">
        <v>6382</v>
      </c>
      <c r="F1338" s="3" t="s">
        <v>6383</v>
      </c>
      <c r="G1338" s="3"/>
      <c r="H1338" s="3" t="s">
        <v>6384</v>
      </c>
      <c r="I1338" s="4"/>
      <c r="J1338" s="4"/>
      <c r="K1338" s="4"/>
      <c r="L1338" s="4"/>
    </row>
    <row r="1339" spans="1:12" x14ac:dyDescent="0.25">
      <c r="A1339" s="2" t="str">
        <f>HYPERLINK("https://www.list-org.com/company/14761592","https://www.list-org.com/company/14761592")</f>
        <v>https://www.list-org.com/company/14761592</v>
      </c>
      <c r="B1339" s="3" t="s">
        <v>6385</v>
      </c>
      <c r="C1339" s="3" t="s">
        <v>6386</v>
      </c>
      <c r="D1339" s="3" t="s">
        <v>14</v>
      </c>
      <c r="E1339" s="3" t="s">
        <v>6387</v>
      </c>
      <c r="F1339" s="3" t="s">
        <v>6388</v>
      </c>
      <c r="G1339" s="3"/>
      <c r="H1339" s="3" t="s">
        <v>6277</v>
      </c>
      <c r="I1339" s="4"/>
      <c r="J1339" s="4"/>
      <c r="K1339" s="4"/>
      <c r="L1339" s="4"/>
    </row>
    <row r="1340" spans="1:12" x14ac:dyDescent="0.25">
      <c r="A1340" s="2" t="str">
        <f>HYPERLINK("https://www.list-org.com/company/14761968","https://www.list-org.com/company/14761968")</f>
        <v>https://www.list-org.com/company/14761968</v>
      </c>
      <c r="B1340" s="3" t="s">
        <v>6389</v>
      </c>
      <c r="C1340" s="3" t="s">
        <v>6390</v>
      </c>
      <c r="D1340" s="3" t="s">
        <v>14</v>
      </c>
      <c r="E1340" s="3" t="s">
        <v>6391</v>
      </c>
      <c r="F1340" s="3" t="s">
        <v>6392</v>
      </c>
      <c r="G1340" s="3"/>
      <c r="H1340" s="3" t="s">
        <v>1198</v>
      </c>
      <c r="I1340" s="4"/>
      <c r="J1340" s="4"/>
      <c r="K1340" s="4"/>
      <c r="L1340" s="4"/>
    </row>
    <row r="1341" spans="1:12" x14ac:dyDescent="0.25">
      <c r="A1341" s="2" t="str">
        <f>HYPERLINK("https://www.list-org.com/company/14762032","https://www.list-org.com/company/14762032")</f>
        <v>https://www.list-org.com/company/14762032</v>
      </c>
      <c r="B1341" s="3" t="s">
        <v>6393</v>
      </c>
      <c r="C1341" s="3" t="s">
        <v>5224</v>
      </c>
      <c r="D1341" s="3" t="s">
        <v>14</v>
      </c>
      <c r="E1341" s="3" t="s">
        <v>6394</v>
      </c>
      <c r="F1341" s="3" t="s">
        <v>6395</v>
      </c>
      <c r="G1341" s="3"/>
      <c r="H1341" s="3" t="s">
        <v>6396</v>
      </c>
      <c r="I1341" s="4"/>
      <c r="J1341" s="4"/>
      <c r="K1341" s="4"/>
      <c r="L1341" s="4"/>
    </row>
    <row r="1342" spans="1:12" x14ac:dyDescent="0.25">
      <c r="A1342" s="2" t="str">
        <f>HYPERLINK("https://www.list-org.com/company/14762145","https://www.list-org.com/company/14762145")</f>
        <v>https://www.list-org.com/company/14762145</v>
      </c>
      <c r="B1342" s="3" t="s">
        <v>842</v>
      </c>
      <c r="C1342" s="3" t="s">
        <v>843</v>
      </c>
      <c r="D1342" s="3" t="s">
        <v>14</v>
      </c>
      <c r="E1342" s="3" t="s">
        <v>6397</v>
      </c>
      <c r="F1342" s="3" t="s">
        <v>6398</v>
      </c>
      <c r="G1342" s="3"/>
      <c r="H1342" s="3" t="s">
        <v>6399</v>
      </c>
      <c r="I1342" s="4"/>
      <c r="J1342" s="4"/>
      <c r="K1342" s="4"/>
      <c r="L1342" s="4"/>
    </row>
    <row r="1343" spans="1:12" x14ac:dyDescent="0.25">
      <c r="A1343" s="2" t="str">
        <f>HYPERLINK("https://www.list-org.com/company/14763591","https://www.list-org.com/company/14763591")</f>
        <v>https://www.list-org.com/company/14763591</v>
      </c>
      <c r="B1343" s="3" t="s">
        <v>6400</v>
      </c>
      <c r="C1343" s="3" t="s">
        <v>6401</v>
      </c>
      <c r="D1343" s="3" t="s">
        <v>14</v>
      </c>
      <c r="E1343" s="3" t="s">
        <v>6402</v>
      </c>
      <c r="F1343" s="3" t="s">
        <v>6403</v>
      </c>
      <c r="G1343" s="3"/>
      <c r="H1343" s="3" t="s">
        <v>6404</v>
      </c>
      <c r="I1343" s="4"/>
      <c r="J1343" s="4"/>
      <c r="K1343" s="4"/>
      <c r="L1343" s="4"/>
    </row>
    <row r="1344" spans="1:12" x14ac:dyDescent="0.25">
      <c r="A1344" s="2" t="str">
        <f>HYPERLINK("https://www.list-org.com/company/14763783","https://www.list-org.com/company/14763783")</f>
        <v>https://www.list-org.com/company/14763783</v>
      </c>
      <c r="B1344" s="3" t="s">
        <v>6405</v>
      </c>
      <c r="C1344" s="3" t="s">
        <v>6406</v>
      </c>
      <c r="D1344" s="3" t="s">
        <v>14</v>
      </c>
      <c r="E1344" s="3" t="s">
        <v>6407</v>
      </c>
      <c r="F1344" s="3" t="s">
        <v>6408</v>
      </c>
      <c r="G1344" s="3"/>
      <c r="H1344" s="3" t="s">
        <v>6409</v>
      </c>
      <c r="I1344" s="4"/>
      <c r="J1344" s="4"/>
      <c r="K1344" s="4"/>
      <c r="L1344" s="4"/>
    </row>
    <row r="1345" spans="1:12" x14ac:dyDescent="0.25">
      <c r="A1345" s="2" t="str">
        <f>HYPERLINK("https://www.list-org.com/company/14764080","https://www.list-org.com/company/14764080")</f>
        <v>https://www.list-org.com/company/14764080</v>
      </c>
      <c r="B1345" s="3" t="s">
        <v>6410</v>
      </c>
      <c r="C1345" s="3" t="s">
        <v>6411</v>
      </c>
      <c r="D1345" s="3" t="s">
        <v>14</v>
      </c>
      <c r="E1345" s="3" t="s">
        <v>6412</v>
      </c>
      <c r="F1345" s="3" t="s">
        <v>6413</v>
      </c>
      <c r="G1345" s="3"/>
      <c r="H1345" s="3" t="s">
        <v>1829</v>
      </c>
      <c r="I1345" s="4"/>
      <c r="J1345" s="4"/>
      <c r="K1345" s="4"/>
      <c r="L1345" s="4"/>
    </row>
    <row r="1346" spans="1:12" x14ac:dyDescent="0.25">
      <c r="A1346" s="2" t="str">
        <f>HYPERLINK("https://www.list-org.com/company/14764555","https://www.list-org.com/company/14764555")</f>
        <v>https://www.list-org.com/company/14764555</v>
      </c>
      <c r="B1346" s="3" t="s">
        <v>6414</v>
      </c>
      <c r="C1346" s="3" t="s">
        <v>6415</v>
      </c>
      <c r="D1346" s="3" t="s">
        <v>14</v>
      </c>
      <c r="E1346" s="3" t="s">
        <v>6416</v>
      </c>
      <c r="F1346" s="3" t="s">
        <v>6417</v>
      </c>
      <c r="G1346" s="3"/>
      <c r="H1346" s="3" t="s">
        <v>6418</v>
      </c>
      <c r="I1346" s="4"/>
      <c r="J1346" s="4"/>
      <c r="K1346" s="4"/>
      <c r="L1346" s="4"/>
    </row>
    <row r="1347" spans="1:12" x14ac:dyDescent="0.25">
      <c r="A1347" s="2" t="str">
        <f>HYPERLINK("https://www.list-org.com/company/14764631","https://www.list-org.com/company/14764631")</f>
        <v>https://www.list-org.com/company/14764631</v>
      </c>
      <c r="B1347" s="3" t="s">
        <v>6419</v>
      </c>
      <c r="C1347" s="3" t="s">
        <v>6420</v>
      </c>
      <c r="D1347" s="3" t="s">
        <v>14</v>
      </c>
      <c r="E1347" s="3" t="s">
        <v>6421</v>
      </c>
      <c r="F1347" s="3" t="s">
        <v>6422</v>
      </c>
      <c r="G1347" s="3"/>
      <c r="H1347" s="3" t="s">
        <v>5907</v>
      </c>
      <c r="I1347" s="4"/>
      <c r="J1347" s="4"/>
      <c r="K1347" s="4"/>
      <c r="L1347" s="4"/>
    </row>
    <row r="1348" spans="1:12" x14ac:dyDescent="0.25">
      <c r="A1348" s="2" t="str">
        <f>HYPERLINK("https://www.list-org.com/company/14764909","https://www.list-org.com/company/14764909")</f>
        <v>https://www.list-org.com/company/14764909</v>
      </c>
      <c r="B1348" s="3" t="s">
        <v>6423</v>
      </c>
      <c r="C1348" s="3" t="s">
        <v>6424</v>
      </c>
      <c r="D1348" s="3" t="s">
        <v>14</v>
      </c>
      <c r="E1348" s="3" t="s">
        <v>6425</v>
      </c>
      <c r="F1348" s="3" t="s">
        <v>6426</v>
      </c>
      <c r="G1348" s="3"/>
      <c r="H1348" s="3" t="s">
        <v>6427</v>
      </c>
      <c r="I1348" s="4"/>
      <c r="J1348" s="4"/>
      <c r="K1348" s="4"/>
      <c r="L1348" s="4"/>
    </row>
    <row r="1349" spans="1:12" x14ac:dyDescent="0.25">
      <c r="A1349" s="2" t="str">
        <f>HYPERLINK("https://www.list-org.com/company/14765012","https://www.list-org.com/company/14765012")</f>
        <v>https://www.list-org.com/company/14765012</v>
      </c>
      <c r="B1349" s="3" t="s">
        <v>6428</v>
      </c>
      <c r="C1349" s="3" t="s">
        <v>6429</v>
      </c>
      <c r="D1349" s="3" t="s">
        <v>14</v>
      </c>
      <c r="E1349" s="3" t="s">
        <v>6430</v>
      </c>
      <c r="F1349" s="3" t="s">
        <v>6431</v>
      </c>
      <c r="G1349" s="3"/>
      <c r="H1349" s="3" t="s">
        <v>6432</v>
      </c>
      <c r="I1349" s="4"/>
      <c r="J1349" s="4"/>
      <c r="K1349" s="4"/>
      <c r="L1349" s="4"/>
    </row>
    <row r="1350" spans="1:12" x14ac:dyDescent="0.25">
      <c r="A1350" s="2" t="str">
        <f>HYPERLINK("https://www.list-org.com/company/14765045","https://www.list-org.com/company/14765045")</f>
        <v>https://www.list-org.com/company/14765045</v>
      </c>
      <c r="B1350" s="3" t="s">
        <v>6433</v>
      </c>
      <c r="C1350" s="3" t="s">
        <v>6434</v>
      </c>
      <c r="D1350" s="3" t="s">
        <v>14</v>
      </c>
      <c r="E1350" s="3" t="s">
        <v>6435</v>
      </c>
      <c r="F1350" s="3" t="s">
        <v>6436</v>
      </c>
      <c r="G1350" s="3"/>
      <c r="H1350" s="3" t="s">
        <v>6437</v>
      </c>
      <c r="I1350" s="4"/>
      <c r="J1350" s="4"/>
      <c r="K1350" s="4"/>
      <c r="L1350" s="4"/>
    </row>
    <row r="1351" spans="1:12" x14ac:dyDescent="0.25">
      <c r="A1351" s="2" t="str">
        <f>HYPERLINK("https://www.list-org.com/company/14765123","https://www.list-org.com/company/14765123")</f>
        <v>https://www.list-org.com/company/14765123</v>
      </c>
      <c r="B1351" s="3" t="s">
        <v>6438</v>
      </c>
      <c r="C1351" s="3" t="s">
        <v>6439</v>
      </c>
      <c r="D1351" s="3" t="s">
        <v>14</v>
      </c>
      <c r="E1351" s="3" t="s">
        <v>6440</v>
      </c>
      <c r="F1351" s="3" t="s">
        <v>6441</v>
      </c>
      <c r="G1351" s="3"/>
      <c r="H1351" s="3" t="s">
        <v>4020</v>
      </c>
      <c r="I1351" s="4"/>
      <c r="J1351" s="4"/>
      <c r="K1351" s="4"/>
      <c r="L1351" s="4"/>
    </row>
    <row r="1352" spans="1:12" x14ac:dyDescent="0.25">
      <c r="A1352" s="2" t="str">
        <f>HYPERLINK("https://www.list-org.com/company/14765466","https://www.list-org.com/company/14765466")</f>
        <v>https://www.list-org.com/company/14765466</v>
      </c>
      <c r="B1352" s="3" t="s">
        <v>6442</v>
      </c>
      <c r="C1352" s="3" t="s">
        <v>6443</v>
      </c>
      <c r="D1352" s="3" t="s">
        <v>14</v>
      </c>
      <c r="E1352" s="3" t="s">
        <v>6444</v>
      </c>
      <c r="F1352" s="3" t="s">
        <v>6445</v>
      </c>
      <c r="G1352" s="3"/>
      <c r="H1352" s="3" t="s">
        <v>4548</v>
      </c>
      <c r="I1352" s="4"/>
      <c r="J1352" s="4"/>
      <c r="K1352" s="4"/>
      <c r="L1352" s="4"/>
    </row>
    <row r="1353" spans="1:12" x14ac:dyDescent="0.25">
      <c r="A1353" s="2" t="str">
        <f>HYPERLINK("https://www.list-org.com/company/14766292","https://www.list-org.com/company/14766292")</f>
        <v>https://www.list-org.com/company/14766292</v>
      </c>
      <c r="B1353" s="3" t="s">
        <v>6446</v>
      </c>
      <c r="C1353" s="3" t="s">
        <v>6447</v>
      </c>
      <c r="D1353" s="3" t="s">
        <v>14</v>
      </c>
      <c r="E1353" s="3" t="s">
        <v>6448</v>
      </c>
      <c r="F1353" s="3" t="s">
        <v>6449</v>
      </c>
      <c r="G1353" s="3"/>
      <c r="H1353" s="3" t="s">
        <v>6450</v>
      </c>
      <c r="I1353" s="4"/>
      <c r="J1353" s="4"/>
      <c r="K1353" s="4"/>
      <c r="L1353" s="4"/>
    </row>
    <row r="1354" spans="1:12" x14ac:dyDescent="0.25">
      <c r="A1354" s="2" t="str">
        <f>HYPERLINK("https://www.list-org.com/company/14766447","https://www.list-org.com/company/14766447")</f>
        <v>https://www.list-org.com/company/14766447</v>
      </c>
      <c r="B1354" s="3" t="s">
        <v>6451</v>
      </c>
      <c r="C1354" s="3" t="s">
        <v>6452</v>
      </c>
      <c r="D1354" s="3" t="s">
        <v>14</v>
      </c>
      <c r="E1354" s="3" t="s">
        <v>6453</v>
      </c>
      <c r="F1354" s="3" t="s">
        <v>6454</v>
      </c>
      <c r="G1354" s="3"/>
      <c r="H1354" s="3" t="s">
        <v>6455</v>
      </c>
      <c r="I1354" s="4"/>
      <c r="J1354" s="4"/>
      <c r="K1354" s="4"/>
      <c r="L1354" s="4"/>
    </row>
    <row r="1355" spans="1:12" x14ac:dyDescent="0.25">
      <c r="A1355" s="2" t="str">
        <f>HYPERLINK("https://www.list-org.com/company/14766470","https://www.list-org.com/company/14766470")</f>
        <v>https://www.list-org.com/company/14766470</v>
      </c>
      <c r="B1355" s="3" t="s">
        <v>6456</v>
      </c>
      <c r="C1355" s="3" t="s">
        <v>6456</v>
      </c>
      <c r="D1355" s="3" t="s">
        <v>14</v>
      </c>
      <c r="E1355" s="3" t="s">
        <v>6457</v>
      </c>
      <c r="F1355" s="3" t="s">
        <v>6458</v>
      </c>
      <c r="G1355" s="3"/>
      <c r="H1355" s="3" t="s">
        <v>6459</v>
      </c>
      <c r="I1355" s="4"/>
      <c r="J1355" s="4"/>
      <c r="K1355" s="4"/>
      <c r="L1355" s="4"/>
    </row>
    <row r="1356" spans="1:12" x14ac:dyDescent="0.25">
      <c r="A1356" s="2" t="str">
        <f>HYPERLINK("https://www.list-org.com/company/14767929","https://www.list-org.com/company/14767929")</f>
        <v>https://www.list-org.com/company/14767929</v>
      </c>
      <c r="B1356" s="3" t="s">
        <v>6460</v>
      </c>
      <c r="C1356" s="3" t="s">
        <v>6461</v>
      </c>
      <c r="D1356" s="3" t="s">
        <v>14</v>
      </c>
      <c r="E1356" s="3" t="s">
        <v>6462</v>
      </c>
      <c r="F1356" s="3" t="s">
        <v>6463</v>
      </c>
      <c r="G1356" s="3"/>
      <c r="H1356" s="3" t="s">
        <v>6464</v>
      </c>
      <c r="I1356" s="4"/>
      <c r="J1356" s="4"/>
      <c r="K1356" s="4"/>
      <c r="L1356" s="4"/>
    </row>
    <row r="1357" spans="1:12" x14ac:dyDescent="0.25">
      <c r="A1357" s="2" t="str">
        <f>HYPERLINK("https://www.list-org.com/company/14768787","https://www.list-org.com/company/14768787")</f>
        <v>https://www.list-org.com/company/14768787</v>
      </c>
      <c r="B1357" s="3" t="s">
        <v>6465</v>
      </c>
      <c r="C1357" s="3" t="s">
        <v>6466</v>
      </c>
      <c r="D1357" s="3" t="s">
        <v>14</v>
      </c>
      <c r="E1357" s="3" t="s">
        <v>6467</v>
      </c>
      <c r="F1357" s="3" t="s">
        <v>6468</v>
      </c>
      <c r="G1357" s="3"/>
      <c r="H1357" s="3" t="s">
        <v>6469</v>
      </c>
      <c r="I1357" s="4"/>
      <c r="J1357" s="4"/>
      <c r="K1357" s="4"/>
      <c r="L1357" s="4"/>
    </row>
    <row r="1358" spans="1:12" x14ac:dyDescent="0.25">
      <c r="A1358" s="2" t="str">
        <f>HYPERLINK("https://www.list-org.com/company/14770190","https://www.list-org.com/company/14770190")</f>
        <v>https://www.list-org.com/company/14770190</v>
      </c>
      <c r="B1358" s="3" t="s">
        <v>6470</v>
      </c>
      <c r="C1358" s="3" t="s">
        <v>6471</v>
      </c>
      <c r="D1358" s="3" t="s">
        <v>14</v>
      </c>
      <c r="E1358" s="3" t="s">
        <v>6472</v>
      </c>
      <c r="F1358" s="3" t="s">
        <v>6473</v>
      </c>
      <c r="G1358" s="3"/>
      <c r="H1358" s="3" t="s">
        <v>6474</v>
      </c>
      <c r="I1358" s="4"/>
      <c r="J1358" s="4"/>
      <c r="K1358" s="4"/>
      <c r="L1358" s="4"/>
    </row>
    <row r="1359" spans="1:12" x14ac:dyDescent="0.25">
      <c r="A1359" s="2" t="str">
        <f>HYPERLINK("https://www.list-org.com/company/14770444","https://www.list-org.com/company/14770444")</f>
        <v>https://www.list-org.com/company/14770444</v>
      </c>
      <c r="B1359" s="3" t="s">
        <v>6475</v>
      </c>
      <c r="C1359" s="3" t="s">
        <v>6476</v>
      </c>
      <c r="D1359" s="3" t="s">
        <v>14</v>
      </c>
      <c r="E1359" s="3" t="s">
        <v>6477</v>
      </c>
      <c r="F1359" s="3" t="s">
        <v>6478</v>
      </c>
      <c r="G1359" s="3"/>
      <c r="H1359" s="3" t="s">
        <v>6479</v>
      </c>
      <c r="I1359" s="4"/>
      <c r="J1359" s="4"/>
      <c r="K1359" s="4"/>
      <c r="L1359" s="4"/>
    </row>
    <row r="1360" spans="1:12" x14ac:dyDescent="0.25">
      <c r="A1360" s="2" t="str">
        <f>HYPERLINK("https://www.list-org.com/company/14770597","https://www.list-org.com/company/14770597")</f>
        <v>https://www.list-org.com/company/14770597</v>
      </c>
      <c r="B1360" s="3" t="s">
        <v>6480</v>
      </c>
      <c r="C1360" s="3" t="s">
        <v>6481</v>
      </c>
      <c r="D1360" s="3" t="s">
        <v>14</v>
      </c>
      <c r="E1360" s="3" t="s">
        <v>6482</v>
      </c>
      <c r="F1360" s="3" t="s">
        <v>6483</v>
      </c>
      <c r="G1360" s="3"/>
      <c r="H1360" s="3" t="s">
        <v>231</v>
      </c>
      <c r="I1360" s="4"/>
      <c r="J1360" s="4"/>
      <c r="K1360" s="4">
        <v>-23</v>
      </c>
      <c r="L1360" s="4">
        <v>-23</v>
      </c>
    </row>
    <row r="1361" spans="1:12" x14ac:dyDescent="0.25">
      <c r="A1361" s="2" t="str">
        <f>HYPERLINK("https://www.list-org.com/company/14773936","https://www.list-org.com/company/14773936")</f>
        <v>https://www.list-org.com/company/14773936</v>
      </c>
      <c r="B1361" s="3" t="s">
        <v>6484</v>
      </c>
      <c r="C1361" s="3" t="s">
        <v>6485</v>
      </c>
      <c r="D1361" s="3" t="s">
        <v>14</v>
      </c>
      <c r="E1361" s="3" t="s">
        <v>6486</v>
      </c>
      <c r="F1361" s="3" t="s">
        <v>6487</v>
      </c>
      <c r="G1361" s="3"/>
      <c r="H1361" s="3" t="s">
        <v>3404</v>
      </c>
      <c r="I1361" s="4"/>
      <c r="J1361" s="4"/>
      <c r="K1361" s="4"/>
      <c r="L1361" s="4"/>
    </row>
    <row r="1362" spans="1:12" x14ac:dyDescent="0.25">
      <c r="A1362" s="2" t="str">
        <f>HYPERLINK("https://www.list-org.com/company/14774661","https://www.list-org.com/company/14774661")</f>
        <v>https://www.list-org.com/company/14774661</v>
      </c>
      <c r="B1362" s="3" t="s">
        <v>6488</v>
      </c>
      <c r="C1362" s="3" t="s">
        <v>6489</v>
      </c>
      <c r="D1362" s="3" t="s">
        <v>14</v>
      </c>
      <c r="E1362" s="3" t="s">
        <v>6490</v>
      </c>
      <c r="F1362" s="3" t="s">
        <v>6491</v>
      </c>
      <c r="G1362" s="3"/>
      <c r="H1362" s="3" t="s">
        <v>6492</v>
      </c>
      <c r="I1362" s="4"/>
      <c r="J1362" s="4"/>
      <c r="K1362" s="4"/>
      <c r="L1362" s="4"/>
    </row>
    <row r="1363" spans="1:12" x14ac:dyDescent="0.25">
      <c r="A1363" s="2" t="str">
        <f>HYPERLINK("https://www.list-org.com/company/14775866","https://www.list-org.com/company/14775866")</f>
        <v>https://www.list-org.com/company/14775866</v>
      </c>
      <c r="B1363" s="3" t="s">
        <v>6493</v>
      </c>
      <c r="C1363" s="3" t="s">
        <v>6494</v>
      </c>
      <c r="D1363" s="3" t="s">
        <v>14</v>
      </c>
      <c r="E1363" s="3" t="s">
        <v>6495</v>
      </c>
      <c r="F1363" s="3" t="s">
        <v>6496</v>
      </c>
      <c r="G1363" s="3"/>
      <c r="H1363" s="3" t="s">
        <v>6497</v>
      </c>
      <c r="I1363" s="4"/>
      <c r="J1363" s="4"/>
      <c r="K1363" s="4"/>
      <c r="L1363" s="4"/>
    </row>
    <row r="1364" spans="1:12" x14ac:dyDescent="0.25">
      <c r="A1364" s="2" t="str">
        <f>HYPERLINK("https://www.list-org.com/company/14776142","https://www.list-org.com/company/14776142")</f>
        <v>https://www.list-org.com/company/14776142</v>
      </c>
      <c r="B1364" s="3" t="s">
        <v>6498</v>
      </c>
      <c r="C1364" s="3" t="s">
        <v>6499</v>
      </c>
      <c r="D1364" s="3" t="s">
        <v>14</v>
      </c>
      <c r="E1364" s="3" t="s">
        <v>6500</v>
      </c>
      <c r="F1364" s="3" t="s">
        <v>6501</v>
      </c>
      <c r="G1364" s="3"/>
      <c r="H1364" s="3" t="s">
        <v>1266</v>
      </c>
      <c r="I1364" s="4"/>
      <c r="J1364" s="4"/>
      <c r="K1364" s="4"/>
      <c r="L1364" s="4"/>
    </row>
    <row r="1365" spans="1:12" x14ac:dyDescent="0.25">
      <c r="A1365" s="2" t="str">
        <f>HYPERLINK("https://www.list-org.com/company/14776240","https://www.list-org.com/company/14776240")</f>
        <v>https://www.list-org.com/company/14776240</v>
      </c>
      <c r="B1365" s="3" t="s">
        <v>6502</v>
      </c>
      <c r="C1365" s="3" t="s">
        <v>6503</v>
      </c>
      <c r="D1365" s="3" t="s">
        <v>14</v>
      </c>
      <c r="E1365" s="3" t="s">
        <v>6504</v>
      </c>
      <c r="F1365" s="3" t="s">
        <v>6505</v>
      </c>
      <c r="G1365" s="3"/>
      <c r="H1365" s="3" t="s">
        <v>5949</v>
      </c>
      <c r="I1365" s="4"/>
      <c r="J1365" s="4"/>
      <c r="K1365" s="4"/>
      <c r="L1365" s="4"/>
    </row>
    <row r="1366" spans="1:12" x14ac:dyDescent="0.25">
      <c r="A1366" s="2" t="str">
        <f>HYPERLINK("https://www.list-org.com/company/14776536","https://www.list-org.com/company/14776536")</f>
        <v>https://www.list-org.com/company/14776536</v>
      </c>
      <c r="B1366" s="3" t="s">
        <v>6506</v>
      </c>
      <c r="C1366" s="3" t="s">
        <v>6507</v>
      </c>
      <c r="D1366" s="3" t="s">
        <v>14</v>
      </c>
      <c r="E1366" s="3" t="s">
        <v>6508</v>
      </c>
      <c r="F1366" s="3" t="s">
        <v>6509</v>
      </c>
      <c r="G1366" s="3"/>
      <c r="H1366" s="3" t="s">
        <v>1256</v>
      </c>
      <c r="I1366" s="4"/>
      <c r="J1366" s="4"/>
      <c r="K1366" s="4"/>
      <c r="L1366" s="4"/>
    </row>
    <row r="1367" spans="1:12" x14ac:dyDescent="0.25">
      <c r="A1367" s="2" t="str">
        <f>HYPERLINK("https://www.list-org.com/company/14778217","https://www.list-org.com/company/14778217")</f>
        <v>https://www.list-org.com/company/14778217</v>
      </c>
      <c r="B1367" s="3" t="s">
        <v>6510</v>
      </c>
      <c r="C1367" s="3" t="s">
        <v>6511</v>
      </c>
      <c r="D1367" s="3" t="s">
        <v>14</v>
      </c>
      <c r="E1367" s="3" t="s">
        <v>6512</v>
      </c>
      <c r="F1367" s="3" t="s">
        <v>6513</v>
      </c>
      <c r="G1367" s="3"/>
      <c r="H1367" s="3" t="s">
        <v>6514</v>
      </c>
      <c r="I1367" s="4"/>
      <c r="J1367" s="4"/>
      <c r="K1367" s="4"/>
      <c r="L1367" s="4"/>
    </row>
    <row r="1368" spans="1:12" x14ac:dyDescent="0.25">
      <c r="A1368" s="2" t="str">
        <f>HYPERLINK("https://www.list-org.com/company/14779422","https://www.list-org.com/company/14779422")</f>
        <v>https://www.list-org.com/company/14779422</v>
      </c>
      <c r="B1368" s="3" t="s">
        <v>6515</v>
      </c>
      <c r="C1368" s="3" t="s">
        <v>6516</v>
      </c>
      <c r="D1368" s="3" t="s">
        <v>14</v>
      </c>
      <c r="E1368" s="3" t="s">
        <v>6517</v>
      </c>
      <c r="F1368" s="3" t="s">
        <v>6518</v>
      </c>
      <c r="G1368" s="3"/>
      <c r="H1368" s="3" t="s">
        <v>2793</v>
      </c>
      <c r="I1368" s="4"/>
      <c r="J1368" s="4"/>
      <c r="K1368" s="4"/>
      <c r="L1368" s="4"/>
    </row>
    <row r="1369" spans="1:12" x14ac:dyDescent="0.25">
      <c r="A1369" s="2" t="str">
        <f>HYPERLINK("https://www.list-org.com/company/14780018","https://www.list-org.com/company/14780018")</f>
        <v>https://www.list-org.com/company/14780018</v>
      </c>
      <c r="B1369" s="3" t="s">
        <v>6519</v>
      </c>
      <c r="C1369" s="3" t="s">
        <v>6520</v>
      </c>
      <c r="D1369" s="3" t="s">
        <v>14</v>
      </c>
      <c r="E1369" s="3" t="s">
        <v>6521</v>
      </c>
      <c r="F1369" s="3" t="s">
        <v>6522</v>
      </c>
      <c r="G1369" s="3"/>
      <c r="H1369" s="3" t="s">
        <v>6523</v>
      </c>
      <c r="I1369" s="4">
        <v>4</v>
      </c>
      <c r="J1369" s="4"/>
      <c r="K1369" s="4">
        <v>-26</v>
      </c>
      <c r="L1369" s="4">
        <v>-16</v>
      </c>
    </row>
    <row r="1370" spans="1:12" x14ac:dyDescent="0.25">
      <c r="A1370" s="2" t="str">
        <f>HYPERLINK("https://www.list-org.com/company/14780073","https://www.list-org.com/company/14780073")</f>
        <v>https://www.list-org.com/company/14780073</v>
      </c>
      <c r="B1370" s="3" t="s">
        <v>6524</v>
      </c>
      <c r="C1370" s="3" t="s">
        <v>6525</v>
      </c>
      <c r="D1370" s="3" t="s">
        <v>14</v>
      </c>
      <c r="E1370" s="3" t="s">
        <v>6526</v>
      </c>
      <c r="F1370" s="3" t="s">
        <v>6527</v>
      </c>
      <c r="G1370" s="3"/>
      <c r="H1370" s="3" t="s">
        <v>6528</v>
      </c>
      <c r="I1370" s="4"/>
      <c r="J1370" s="4"/>
      <c r="K1370" s="4"/>
      <c r="L1370" s="4"/>
    </row>
    <row r="1371" spans="1:12" x14ac:dyDescent="0.25">
      <c r="A1371" s="2" t="str">
        <f>HYPERLINK("https://www.list-org.com/company/14780218","https://www.list-org.com/company/14780218")</f>
        <v>https://www.list-org.com/company/14780218</v>
      </c>
      <c r="B1371" s="3" t="s">
        <v>6529</v>
      </c>
      <c r="C1371" s="3" t="s">
        <v>6530</v>
      </c>
      <c r="D1371" s="3" t="s">
        <v>14</v>
      </c>
      <c r="E1371" s="3" t="s">
        <v>6531</v>
      </c>
      <c r="F1371" s="3" t="s">
        <v>6532</v>
      </c>
      <c r="G1371" s="3"/>
      <c r="H1371" s="3" t="s">
        <v>2793</v>
      </c>
      <c r="I1371" s="4"/>
      <c r="J1371" s="4"/>
      <c r="K1371" s="4"/>
      <c r="L1371" s="4"/>
    </row>
    <row r="1372" spans="1:12" x14ac:dyDescent="0.25">
      <c r="A1372" s="2" t="str">
        <f>HYPERLINK("https://www.list-org.com/company/14780646","https://www.list-org.com/company/14780646")</f>
        <v>https://www.list-org.com/company/14780646</v>
      </c>
      <c r="B1372" s="3" t="s">
        <v>6533</v>
      </c>
      <c r="C1372" s="3" t="s">
        <v>6534</v>
      </c>
      <c r="D1372" s="3" t="s">
        <v>14</v>
      </c>
      <c r="E1372" s="3" t="s">
        <v>6535</v>
      </c>
      <c r="F1372" s="3" t="s">
        <v>6536</v>
      </c>
      <c r="G1372" s="3"/>
      <c r="H1372" s="3" t="s">
        <v>6537</v>
      </c>
      <c r="I1372" s="4"/>
      <c r="J1372" s="4"/>
      <c r="K1372" s="4"/>
      <c r="L1372" s="4"/>
    </row>
    <row r="1373" spans="1:12" x14ac:dyDescent="0.25">
      <c r="A1373" s="2" t="str">
        <f>HYPERLINK("https://www.list-org.com/company/14782760","https://www.list-org.com/company/14782760")</f>
        <v>https://www.list-org.com/company/14782760</v>
      </c>
      <c r="B1373" s="3" t="s">
        <v>6538</v>
      </c>
      <c r="C1373" s="3" t="s">
        <v>6539</v>
      </c>
      <c r="D1373" s="3" t="s">
        <v>14</v>
      </c>
      <c r="E1373" s="3" t="s">
        <v>6540</v>
      </c>
      <c r="F1373" s="3" t="s">
        <v>6541</v>
      </c>
      <c r="G1373" s="3"/>
      <c r="H1373" s="3" t="s">
        <v>6542</v>
      </c>
      <c r="I1373" s="4"/>
      <c r="J1373" s="4"/>
      <c r="K1373" s="4"/>
      <c r="L1373" s="4"/>
    </row>
    <row r="1374" spans="1:12" x14ac:dyDescent="0.25">
      <c r="A1374" s="2" t="str">
        <f>HYPERLINK("https://www.list-org.com/company/14782798","https://www.list-org.com/company/14782798")</f>
        <v>https://www.list-org.com/company/14782798</v>
      </c>
      <c r="B1374" s="3" t="s">
        <v>6543</v>
      </c>
      <c r="C1374" s="3" t="s">
        <v>6544</v>
      </c>
      <c r="D1374" s="3" t="s">
        <v>14</v>
      </c>
      <c r="E1374" s="3" t="s">
        <v>6545</v>
      </c>
      <c r="F1374" s="3" t="s">
        <v>6546</v>
      </c>
      <c r="G1374" s="3"/>
      <c r="H1374" s="3" t="s">
        <v>176</v>
      </c>
      <c r="I1374" s="4"/>
      <c r="J1374" s="4"/>
      <c r="K1374" s="4"/>
      <c r="L1374" s="4"/>
    </row>
    <row r="1375" spans="1:12" x14ac:dyDescent="0.25">
      <c r="A1375" s="2" t="str">
        <f>HYPERLINK("https://www.list-org.com/company/14783818","https://www.list-org.com/company/14783818")</f>
        <v>https://www.list-org.com/company/14783818</v>
      </c>
      <c r="B1375" s="3" t="s">
        <v>6547</v>
      </c>
      <c r="C1375" s="3" t="s">
        <v>6548</v>
      </c>
      <c r="D1375" s="3" t="s">
        <v>14</v>
      </c>
      <c r="E1375" s="3" t="s">
        <v>6549</v>
      </c>
      <c r="F1375" s="3" t="s">
        <v>6550</v>
      </c>
      <c r="G1375" s="3"/>
      <c r="H1375" s="3" t="s">
        <v>6551</v>
      </c>
      <c r="I1375" s="4"/>
      <c r="J1375" s="4"/>
      <c r="K1375" s="4"/>
      <c r="L1375" s="4"/>
    </row>
    <row r="1376" spans="1:12" x14ac:dyDescent="0.25">
      <c r="A1376" s="2" t="str">
        <f>HYPERLINK("https://www.list-org.com/company/14784068","https://www.list-org.com/company/14784068")</f>
        <v>https://www.list-org.com/company/14784068</v>
      </c>
      <c r="B1376" s="3" t="s">
        <v>6552</v>
      </c>
      <c r="C1376" s="3" t="s">
        <v>6553</v>
      </c>
      <c r="D1376" s="3" t="s">
        <v>14</v>
      </c>
      <c r="E1376" s="3" t="s">
        <v>6554</v>
      </c>
      <c r="F1376" s="3" t="s">
        <v>6555</v>
      </c>
      <c r="G1376" s="3"/>
      <c r="H1376" s="3" t="s">
        <v>6556</v>
      </c>
      <c r="I1376" s="4"/>
      <c r="J1376" s="4"/>
      <c r="K1376" s="4"/>
      <c r="L1376" s="4"/>
    </row>
    <row r="1377" spans="1:12" x14ac:dyDescent="0.25">
      <c r="A1377" s="2" t="str">
        <f>HYPERLINK("https://www.list-org.com/company/14785071","https://www.list-org.com/company/14785071")</f>
        <v>https://www.list-org.com/company/14785071</v>
      </c>
      <c r="B1377" s="3" t="s">
        <v>6557</v>
      </c>
      <c r="C1377" s="3" t="s">
        <v>6558</v>
      </c>
      <c r="D1377" s="3" t="s">
        <v>14</v>
      </c>
      <c r="E1377" s="3" t="s">
        <v>6559</v>
      </c>
      <c r="F1377" s="3" t="s">
        <v>6560</v>
      </c>
      <c r="G1377" s="3"/>
      <c r="H1377" s="3" t="s">
        <v>6561</v>
      </c>
      <c r="I1377" s="4"/>
      <c r="J1377" s="4"/>
      <c r="K1377" s="4"/>
      <c r="L1377" s="4"/>
    </row>
    <row r="1378" spans="1:12" x14ac:dyDescent="0.25">
      <c r="A1378" s="2" t="str">
        <f>HYPERLINK("https://www.list-org.com/company/14786036","https://www.list-org.com/company/14786036")</f>
        <v>https://www.list-org.com/company/14786036</v>
      </c>
      <c r="B1378" s="3" t="s">
        <v>6562</v>
      </c>
      <c r="C1378" s="3" t="s">
        <v>6563</v>
      </c>
      <c r="D1378" s="3" t="s">
        <v>14</v>
      </c>
      <c r="E1378" s="3" t="s">
        <v>6564</v>
      </c>
      <c r="F1378" s="3" t="s">
        <v>6565</v>
      </c>
      <c r="G1378" s="3"/>
      <c r="H1378" s="3" t="s">
        <v>6566</v>
      </c>
      <c r="I1378" s="4"/>
      <c r="J1378" s="4"/>
      <c r="K1378" s="4"/>
      <c r="L1378" s="4"/>
    </row>
    <row r="1379" spans="1:12" x14ac:dyDescent="0.25">
      <c r="A1379" s="2" t="str">
        <f>HYPERLINK("https://www.list-org.com/company/14786331","https://www.list-org.com/company/14786331")</f>
        <v>https://www.list-org.com/company/14786331</v>
      </c>
      <c r="B1379" s="3" t="s">
        <v>6567</v>
      </c>
      <c r="C1379" s="3" t="s">
        <v>6568</v>
      </c>
      <c r="D1379" s="3" t="s">
        <v>14</v>
      </c>
      <c r="E1379" s="3" t="s">
        <v>6569</v>
      </c>
      <c r="F1379" s="3" t="s">
        <v>6570</v>
      </c>
      <c r="G1379" s="3"/>
      <c r="H1379" s="3" t="s">
        <v>6571</v>
      </c>
      <c r="I1379" s="4"/>
      <c r="J1379" s="4"/>
      <c r="K1379" s="4"/>
      <c r="L1379" s="4"/>
    </row>
    <row r="1380" spans="1:12" x14ac:dyDescent="0.25">
      <c r="A1380" s="2" t="str">
        <f>HYPERLINK("https://www.list-org.com/company/14787705","https://www.list-org.com/company/14787705")</f>
        <v>https://www.list-org.com/company/14787705</v>
      </c>
      <c r="B1380" s="3" t="s">
        <v>6572</v>
      </c>
      <c r="C1380" s="3" t="s">
        <v>6573</v>
      </c>
      <c r="D1380" s="3" t="s">
        <v>14</v>
      </c>
      <c r="E1380" s="3" t="s">
        <v>6574</v>
      </c>
      <c r="F1380" s="3" t="s">
        <v>6575</v>
      </c>
      <c r="G1380" s="3"/>
      <c r="H1380" s="3" t="s">
        <v>6576</v>
      </c>
      <c r="I1380" s="4"/>
      <c r="J1380" s="4"/>
      <c r="K1380" s="4"/>
      <c r="L1380" s="4"/>
    </row>
    <row r="1381" spans="1:12" x14ac:dyDescent="0.25">
      <c r="A1381" s="2" t="str">
        <f>HYPERLINK("https://www.list-org.com/company/14788560","https://www.list-org.com/company/14788560")</f>
        <v>https://www.list-org.com/company/14788560</v>
      </c>
      <c r="B1381" s="3" t="s">
        <v>6577</v>
      </c>
      <c r="C1381" s="3" t="s">
        <v>6578</v>
      </c>
      <c r="D1381" s="3" t="s">
        <v>14</v>
      </c>
      <c r="E1381" s="3" t="s">
        <v>6579</v>
      </c>
      <c r="F1381" s="3" t="s">
        <v>6580</v>
      </c>
      <c r="G1381" s="3"/>
      <c r="H1381" s="3" t="s">
        <v>6581</v>
      </c>
      <c r="I1381" s="4"/>
      <c r="J1381" s="4"/>
      <c r="K1381" s="4"/>
      <c r="L1381" s="4"/>
    </row>
    <row r="1382" spans="1:12" x14ac:dyDescent="0.25">
      <c r="A1382" s="2" t="str">
        <f>HYPERLINK("https://www.list-org.com/company/14789064","https://www.list-org.com/company/14789064")</f>
        <v>https://www.list-org.com/company/14789064</v>
      </c>
      <c r="B1382" s="3" t="s">
        <v>6582</v>
      </c>
      <c r="C1382" s="3" t="s">
        <v>6583</v>
      </c>
      <c r="D1382" s="3" t="s">
        <v>14</v>
      </c>
      <c r="E1382" s="3" t="s">
        <v>6584</v>
      </c>
      <c r="F1382" s="3" t="s">
        <v>6585</v>
      </c>
      <c r="G1382" s="3"/>
      <c r="H1382" s="3" t="s">
        <v>6586</v>
      </c>
      <c r="I1382" s="4"/>
      <c r="J1382" s="4"/>
      <c r="K1382" s="4"/>
      <c r="L1382" s="4"/>
    </row>
    <row r="1383" spans="1:12" x14ac:dyDescent="0.25">
      <c r="A1383" s="2" t="str">
        <f>HYPERLINK("https://www.list-org.com/company/14789119","https://www.list-org.com/company/14789119")</f>
        <v>https://www.list-org.com/company/14789119</v>
      </c>
      <c r="B1383" s="3" t="s">
        <v>6587</v>
      </c>
      <c r="C1383" s="3" t="s">
        <v>6588</v>
      </c>
      <c r="D1383" s="3" t="s">
        <v>14</v>
      </c>
      <c r="E1383" s="3" t="s">
        <v>6589</v>
      </c>
      <c r="F1383" s="3" t="s">
        <v>6590</v>
      </c>
      <c r="G1383" s="3"/>
      <c r="H1383" s="3" t="s">
        <v>6591</v>
      </c>
      <c r="I1383" s="4"/>
      <c r="J1383" s="4"/>
      <c r="K1383" s="4"/>
      <c r="L1383" s="4"/>
    </row>
    <row r="1384" spans="1:12" x14ac:dyDescent="0.25">
      <c r="A1384" s="2" t="str">
        <f>HYPERLINK("https://www.list-org.com/company/14789295","https://www.list-org.com/company/14789295")</f>
        <v>https://www.list-org.com/company/14789295</v>
      </c>
      <c r="B1384" s="3" t="s">
        <v>6592</v>
      </c>
      <c r="C1384" s="3" t="s">
        <v>6593</v>
      </c>
      <c r="D1384" s="3" t="s">
        <v>14</v>
      </c>
      <c r="E1384" s="3" t="s">
        <v>6594</v>
      </c>
      <c r="F1384" s="3" t="s">
        <v>6595</v>
      </c>
      <c r="G1384" s="3"/>
      <c r="H1384" s="3" t="s">
        <v>4072</v>
      </c>
      <c r="I1384" s="4"/>
      <c r="J1384" s="4"/>
      <c r="K1384" s="4"/>
      <c r="L1384" s="4"/>
    </row>
    <row r="1385" spans="1:12" x14ac:dyDescent="0.25">
      <c r="A1385" s="2" t="str">
        <f>HYPERLINK("https://www.list-org.com/company/14789538","https://www.list-org.com/company/14789538")</f>
        <v>https://www.list-org.com/company/14789538</v>
      </c>
      <c r="B1385" s="3" t="s">
        <v>6596</v>
      </c>
      <c r="C1385" s="3" t="s">
        <v>6597</v>
      </c>
      <c r="D1385" s="3" t="s">
        <v>14</v>
      </c>
      <c r="E1385" s="3" t="s">
        <v>6598</v>
      </c>
      <c r="F1385" s="3" t="s">
        <v>6599</v>
      </c>
      <c r="G1385" s="3"/>
      <c r="H1385" s="3" t="s">
        <v>6600</v>
      </c>
      <c r="I1385" s="4"/>
      <c r="J1385" s="4"/>
      <c r="K1385" s="4"/>
      <c r="L1385" s="4"/>
    </row>
    <row r="1386" spans="1:12" x14ac:dyDescent="0.25">
      <c r="A1386" s="2" t="str">
        <f>HYPERLINK("https://www.list-org.com/company/14789617","https://www.list-org.com/company/14789617")</f>
        <v>https://www.list-org.com/company/14789617</v>
      </c>
      <c r="B1386" s="3" t="s">
        <v>6601</v>
      </c>
      <c r="C1386" s="3" t="s">
        <v>6602</v>
      </c>
      <c r="D1386" s="3" t="s">
        <v>14</v>
      </c>
      <c r="E1386" s="3" t="s">
        <v>6603</v>
      </c>
      <c r="F1386" s="3" t="s">
        <v>6604</v>
      </c>
      <c r="G1386" s="3"/>
      <c r="H1386" s="3" t="s">
        <v>176</v>
      </c>
      <c r="I1386" s="4"/>
      <c r="J1386" s="4"/>
      <c r="K1386" s="4"/>
      <c r="L1386" s="4"/>
    </row>
    <row r="1387" spans="1:12" x14ac:dyDescent="0.25">
      <c r="A1387" s="2" t="str">
        <f>HYPERLINK("https://www.list-org.com/company/14789808","https://www.list-org.com/company/14789808")</f>
        <v>https://www.list-org.com/company/14789808</v>
      </c>
      <c r="B1387" s="3" t="s">
        <v>6605</v>
      </c>
      <c r="C1387" s="3" t="s">
        <v>6606</v>
      </c>
      <c r="D1387" s="3" t="s">
        <v>14</v>
      </c>
      <c r="E1387" s="3" t="s">
        <v>6607</v>
      </c>
      <c r="F1387" s="3" t="s">
        <v>6608</v>
      </c>
      <c r="G1387" s="3"/>
      <c r="H1387" s="3" t="s">
        <v>6609</v>
      </c>
      <c r="I1387" s="4"/>
      <c r="J1387" s="4"/>
      <c r="K1387" s="4"/>
      <c r="L1387" s="4"/>
    </row>
    <row r="1388" spans="1:12" x14ac:dyDescent="0.25">
      <c r="A1388" s="2" t="str">
        <f>HYPERLINK("https://www.list-org.com/company/14791677","https://www.list-org.com/company/14791677")</f>
        <v>https://www.list-org.com/company/14791677</v>
      </c>
      <c r="B1388" s="3" t="s">
        <v>6610</v>
      </c>
      <c r="C1388" s="3" t="s">
        <v>6611</v>
      </c>
      <c r="D1388" s="3" t="s">
        <v>14</v>
      </c>
      <c r="E1388" s="3" t="s">
        <v>6612</v>
      </c>
      <c r="F1388" s="3" t="s">
        <v>6613</v>
      </c>
      <c r="G1388" s="3"/>
      <c r="H1388" s="3" t="s">
        <v>5402</v>
      </c>
      <c r="I1388" s="4"/>
      <c r="J1388" s="4"/>
      <c r="K1388" s="4"/>
      <c r="L1388" s="4"/>
    </row>
    <row r="1389" spans="1:12" x14ac:dyDescent="0.25">
      <c r="A1389" s="2" t="str">
        <f>HYPERLINK("https://www.list-org.com/company/14791935","https://www.list-org.com/company/14791935")</f>
        <v>https://www.list-org.com/company/14791935</v>
      </c>
      <c r="B1389" s="3" t="s">
        <v>6614</v>
      </c>
      <c r="C1389" s="3" t="s">
        <v>6615</v>
      </c>
      <c r="D1389" s="3" t="s">
        <v>14</v>
      </c>
      <c r="E1389" s="3" t="s">
        <v>6616</v>
      </c>
      <c r="F1389" s="3" t="s">
        <v>6617</v>
      </c>
      <c r="G1389" s="3"/>
      <c r="H1389" s="3" t="s">
        <v>6618</v>
      </c>
      <c r="I1389" s="4"/>
      <c r="J1389" s="4"/>
      <c r="K1389" s="4"/>
      <c r="L1389" s="4"/>
    </row>
    <row r="1390" spans="1:12" x14ac:dyDescent="0.25">
      <c r="A1390" s="2" t="str">
        <f>HYPERLINK("https://www.list-org.com/company/14792875","https://www.list-org.com/company/14792875")</f>
        <v>https://www.list-org.com/company/14792875</v>
      </c>
      <c r="B1390" s="3" t="s">
        <v>6619</v>
      </c>
      <c r="C1390" s="3" t="s">
        <v>6620</v>
      </c>
      <c r="D1390" s="3" t="s">
        <v>14</v>
      </c>
      <c r="E1390" s="3" t="s">
        <v>6621</v>
      </c>
      <c r="F1390" s="3" t="s">
        <v>6622</v>
      </c>
      <c r="G1390" s="3"/>
      <c r="H1390" s="3" t="s">
        <v>6623</v>
      </c>
      <c r="I1390" s="4"/>
      <c r="J1390" s="4"/>
      <c r="K1390" s="4"/>
      <c r="L1390" s="4"/>
    </row>
    <row r="1391" spans="1:12" x14ac:dyDescent="0.25">
      <c r="A1391" s="2" t="str">
        <f>HYPERLINK("https://www.list-org.com/company/14794097","https://www.list-org.com/company/14794097")</f>
        <v>https://www.list-org.com/company/14794097</v>
      </c>
      <c r="B1391" s="3" t="s">
        <v>6624</v>
      </c>
      <c r="C1391" s="3" t="s">
        <v>6625</v>
      </c>
      <c r="D1391" s="3" t="s">
        <v>14</v>
      </c>
      <c r="E1391" s="3" t="s">
        <v>6626</v>
      </c>
      <c r="F1391" s="3" t="s">
        <v>6627</v>
      </c>
      <c r="G1391" s="3"/>
      <c r="H1391" s="3" t="s">
        <v>6628</v>
      </c>
      <c r="I1391" s="4"/>
      <c r="J1391" s="4"/>
      <c r="K1391" s="4"/>
      <c r="L1391" s="4"/>
    </row>
    <row r="1392" spans="1:12" x14ac:dyDescent="0.25">
      <c r="A1392" s="2" t="str">
        <f>HYPERLINK("https://www.list-org.com/company/14794239","https://www.list-org.com/company/14794239")</f>
        <v>https://www.list-org.com/company/14794239</v>
      </c>
      <c r="B1392" s="3" t="s">
        <v>6629</v>
      </c>
      <c r="C1392" s="3" t="s">
        <v>6630</v>
      </c>
      <c r="D1392" s="3" t="s">
        <v>14</v>
      </c>
      <c r="E1392" s="3" t="s">
        <v>6631</v>
      </c>
      <c r="F1392" s="3" t="s">
        <v>6632</v>
      </c>
      <c r="G1392" s="3"/>
      <c r="H1392" s="3" t="s">
        <v>6633</v>
      </c>
      <c r="I1392" s="4"/>
      <c r="J1392" s="4"/>
      <c r="K1392" s="4"/>
      <c r="L1392" s="4"/>
    </row>
    <row r="1393" spans="1:12" x14ac:dyDescent="0.25">
      <c r="A1393" s="2" t="str">
        <f>HYPERLINK("https://www.list-org.com/company/14796884","https://www.list-org.com/company/14796884")</f>
        <v>https://www.list-org.com/company/14796884</v>
      </c>
      <c r="B1393" s="3" t="s">
        <v>6634</v>
      </c>
      <c r="C1393" s="3" t="s">
        <v>6635</v>
      </c>
      <c r="D1393" s="3" t="s">
        <v>14</v>
      </c>
      <c r="E1393" s="3" t="s">
        <v>6636</v>
      </c>
      <c r="F1393" s="3" t="s">
        <v>6637</v>
      </c>
      <c r="G1393" s="3"/>
      <c r="H1393" s="3" t="s">
        <v>6591</v>
      </c>
      <c r="I1393" s="4"/>
      <c r="J1393" s="4"/>
      <c r="K1393" s="4"/>
      <c r="L1393" s="4"/>
    </row>
    <row r="1394" spans="1:12" x14ac:dyDescent="0.25">
      <c r="A1394" s="2" t="str">
        <f>HYPERLINK("https://www.list-org.com/company/14798635","https://www.list-org.com/company/14798635")</f>
        <v>https://www.list-org.com/company/14798635</v>
      </c>
      <c r="B1394" s="3" t="s">
        <v>6638</v>
      </c>
      <c r="C1394" s="3" t="s">
        <v>6639</v>
      </c>
      <c r="D1394" s="3" t="s">
        <v>14</v>
      </c>
      <c r="E1394" s="3" t="s">
        <v>6640</v>
      </c>
      <c r="F1394" s="3" t="s">
        <v>6641</v>
      </c>
      <c r="G1394" s="3"/>
      <c r="H1394" s="3" t="s">
        <v>6642</v>
      </c>
      <c r="I1394" s="4"/>
      <c r="J1394" s="4"/>
      <c r="K1394" s="4"/>
      <c r="L1394" s="4"/>
    </row>
    <row r="1395" spans="1:12" x14ac:dyDescent="0.25">
      <c r="A1395" s="2" t="str">
        <f>HYPERLINK("https://www.list-org.com/company/14799444","https://www.list-org.com/company/14799444")</f>
        <v>https://www.list-org.com/company/14799444</v>
      </c>
      <c r="B1395" s="3" t="s">
        <v>6643</v>
      </c>
      <c r="C1395" s="3" t="s">
        <v>6644</v>
      </c>
      <c r="D1395" s="3" t="s">
        <v>14</v>
      </c>
      <c r="E1395" s="3" t="s">
        <v>6645</v>
      </c>
      <c r="F1395" s="3" t="s">
        <v>6646</v>
      </c>
      <c r="G1395" s="3"/>
      <c r="H1395" s="3" t="s">
        <v>6647</v>
      </c>
      <c r="I1395" s="4"/>
      <c r="J1395" s="4"/>
      <c r="K1395" s="4"/>
      <c r="L1395" s="4"/>
    </row>
    <row r="1396" spans="1:12" x14ac:dyDescent="0.25">
      <c r="A1396" s="2" t="str">
        <f>HYPERLINK("https://www.list-org.com/company/14799633","https://www.list-org.com/company/14799633")</f>
        <v>https://www.list-org.com/company/14799633</v>
      </c>
      <c r="B1396" s="3" t="s">
        <v>6648</v>
      </c>
      <c r="C1396" s="3" t="s">
        <v>6649</v>
      </c>
      <c r="D1396" s="3" t="s">
        <v>14</v>
      </c>
      <c r="E1396" s="3" t="s">
        <v>6650</v>
      </c>
      <c r="F1396" s="3" t="s">
        <v>6651</v>
      </c>
      <c r="G1396" s="3"/>
      <c r="H1396" s="3" t="s">
        <v>6652</v>
      </c>
      <c r="I1396" s="4"/>
      <c r="J1396" s="4"/>
      <c r="K1396" s="4"/>
      <c r="L1396" s="4"/>
    </row>
    <row r="1397" spans="1:12" x14ac:dyDescent="0.25">
      <c r="A1397" s="2" t="str">
        <f>HYPERLINK("https://www.list-org.com/company/14799854","https://www.list-org.com/company/14799854")</f>
        <v>https://www.list-org.com/company/14799854</v>
      </c>
      <c r="B1397" s="3" t="s">
        <v>6653</v>
      </c>
      <c r="C1397" s="3" t="s">
        <v>6654</v>
      </c>
      <c r="D1397" s="3" t="s">
        <v>14</v>
      </c>
      <c r="E1397" s="3" t="s">
        <v>6655</v>
      </c>
      <c r="F1397" s="3" t="s">
        <v>6656</v>
      </c>
      <c r="G1397" s="3"/>
      <c r="H1397" s="3" t="s">
        <v>6657</v>
      </c>
      <c r="I1397" s="4"/>
      <c r="J1397" s="4"/>
      <c r="K1397" s="4"/>
      <c r="L1397" s="4"/>
    </row>
    <row r="1398" spans="1:12" x14ac:dyDescent="0.25">
      <c r="A1398" s="2" t="str">
        <f>HYPERLINK("https://www.list-org.com/company/14800130","https://www.list-org.com/company/14800130")</f>
        <v>https://www.list-org.com/company/14800130</v>
      </c>
      <c r="B1398" s="3" t="s">
        <v>6658</v>
      </c>
      <c r="C1398" s="3" t="s">
        <v>6659</v>
      </c>
      <c r="D1398" s="3" t="s">
        <v>14</v>
      </c>
      <c r="E1398" s="3" t="s">
        <v>6660</v>
      </c>
      <c r="F1398" s="3" t="s">
        <v>6661</v>
      </c>
      <c r="G1398" s="3"/>
      <c r="H1398" s="3" t="s">
        <v>6662</v>
      </c>
      <c r="I1398" s="4"/>
      <c r="J1398" s="4"/>
      <c r="K1398" s="4"/>
      <c r="L1398" s="4"/>
    </row>
    <row r="1399" spans="1:12" x14ac:dyDescent="0.25">
      <c r="A1399" s="2" t="str">
        <f>HYPERLINK("https://www.list-org.com/company/14802304","https://www.list-org.com/company/14802304")</f>
        <v>https://www.list-org.com/company/14802304</v>
      </c>
      <c r="B1399" s="3" t="s">
        <v>6663</v>
      </c>
      <c r="C1399" s="3" t="s">
        <v>6664</v>
      </c>
      <c r="D1399" s="3" t="s">
        <v>14</v>
      </c>
      <c r="E1399" s="3" t="s">
        <v>6665</v>
      </c>
      <c r="F1399" s="3" t="s">
        <v>6666</v>
      </c>
      <c r="G1399" s="3"/>
      <c r="H1399" s="3" t="s">
        <v>6667</v>
      </c>
      <c r="I1399" s="4"/>
      <c r="J1399" s="4"/>
      <c r="K1399" s="4"/>
      <c r="L1399" s="4"/>
    </row>
    <row r="1400" spans="1:12" x14ac:dyDescent="0.25">
      <c r="A1400" s="2" t="str">
        <f>HYPERLINK("https://www.list-org.com/company/14802316","https://www.list-org.com/company/14802316")</f>
        <v>https://www.list-org.com/company/14802316</v>
      </c>
      <c r="B1400" s="3" t="s">
        <v>6668</v>
      </c>
      <c r="C1400" s="3" t="s">
        <v>6669</v>
      </c>
      <c r="D1400" s="3" t="s">
        <v>14</v>
      </c>
      <c r="E1400" s="3" t="s">
        <v>6670</v>
      </c>
      <c r="F1400" s="3" t="s">
        <v>6671</v>
      </c>
      <c r="G1400" s="3"/>
      <c r="H1400" s="3" t="s">
        <v>6672</v>
      </c>
      <c r="I1400" s="4"/>
      <c r="J1400" s="4"/>
      <c r="K1400" s="4"/>
      <c r="L1400" s="4"/>
    </row>
    <row r="1401" spans="1:12" x14ac:dyDescent="0.25">
      <c r="A1401" s="2" t="str">
        <f>HYPERLINK("https://www.list-org.com/company/14804623","https://www.list-org.com/company/14804623")</f>
        <v>https://www.list-org.com/company/14804623</v>
      </c>
      <c r="B1401" s="3" t="s">
        <v>6673</v>
      </c>
      <c r="C1401" s="3" t="s">
        <v>6674</v>
      </c>
      <c r="D1401" s="3" t="s">
        <v>14</v>
      </c>
      <c r="E1401" s="3" t="s">
        <v>6675</v>
      </c>
      <c r="F1401" s="3" t="s">
        <v>6676</v>
      </c>
      <c r="G1401" s="3"/>
      <c r="H1401" s="3" t="s">
        <v>5011</v>
      </c>
      <c r="I1401" s="4"/>
      <c r="J1401" s="4"/>
      <c r="K1401" s="4"/>
      <c r="L1401" s="4"/>
    </row>
    <row r="1402" spans="1:12" x14ac:dyDescent="0.25">
      <c r="A1402" s="2" t="str">
        <f>HYPERLINK("https://www.list-org.com/company/14804624","https://www.list-org.com/company/14804624")</f>
        <v>https://www.list-org.com/company/14804624</v>
      </c>
      <c r="B1402" s="3" t="s">
        <v>6677</v>
      </c>
      <c r="C1402" s="3" t="s">
        <v>6678</v>
      </c>
      <c r="D1402" s="3" t="s">
        <v>14</v>
      </c>
      <c r="E1402" s="3" t="s">
        <v>6679</v>
      </c>
      <c r="F1402" s="3" t="s">
        <v>6680</v>
      </c>
      <c r="G1402" s="3"/>
      <c r="H1402" s="3" t="s">
        <v>6681</v>
      </c>
      <c r="I1402" s="4"/>
      <c r="J1402" s="4"/>
      <c r="K1402" s="4"/>
      <c r="L1402" s="4"/>
    </row>
    <row r="1403" spans="1:12" x14ac:dyDescent="0.25">
      <c r="A1403" s="2" t="str">
        <f>HYPERLINK("https://www.list-org.com/company/14805328","https://www.list-org.com/company/14805328")</f>
        <v>https://www.list-org.com/company/14805328</v>
      </c>
      <c r="B1403" s="3" t="s">
        <v>6682</v>
      </c>
      <c r="C1403" s="3" t="s">
        <v>6683</v>
      </c>
      <c r="D1403" s="3" t="s">
        <v>14</v>
      </c>
      <c r="E1403" s="3" t="s">
        <v>6684</v>
      </c>
      <c r="F1403" s="3" t="s">
        <v>6685</v>
      </c>
      <c r="G1403" s="3"/>
      <c r="H1403" s="3" t="s">
        <v>6686</v>
      </c>
      <c r="I1403" s="4"/>
      <c r="J1403" s="4"/>
      <c r="K1403" s="4"/>
      <c r="L1403" s="4"/>
    </row>
    <row r="1404" spans="1:12" x14ac:dyDescent="0.25">
      <c r="A1404" s="2" t="str">
        <f>HYPERLINK("https://www.list-org.com/company/14805434","https://www.list-org.com/company/14805434")</f>
        <v>https://www.list-org.com/company/14805434</v>
      </c>
      <c r="B1404" s="3" t="s">
        <v>4331</v>
      </c>
      <c r="C1404" s="3" t="s">
        <v>4332</v>
      </c>
      <c r="D1404" s="3" t="s">
        <v>14</v>
      </c>
      <c r="E1404" s="3" t="s">
        <v>6687</v>
      </c>
      <c r="F1404" s="3" t="s">
        <v>6688</v>
      </c>
      <c r="G1404" s="3"/>
      <c r="H1404" s="3" t="s">
        <v>6689</v>
      </c>
      <c r="I1404" s="4"/>
      <c r="J1404" s="4"/>
      <c r="K1404" s="4"/>
      <c r="L1404" s="4"/>
    </row>
    <row r="1405" spans="1:12" x14ac:dyDescent="0.25">
      <c r="A1405" s="2" t="str">
        <f>HYPERLINK("https://www.list-org.com/company/14805861","https://www.list-org.com/company/14805861")</f>
        <v>https://www.list-org.com/company/14805861</v>
      </c>
      <c r="B1405" s="3" t="s">
        <v>6690</v>
      </c>
      <c r="C1405" s="3" t="s">
        <v>6691</v>
      </c>
      <c r="D1405" s="3" t="s">
        <v>14</v>
      </c>
      <c r="E1405" s="3" t="s">
        <v>6692</v>
      </c>
      <c r="F1405" s="3" t="s">
        <v>6693</v>
      </c>
      <c r="G1405" s="3"/>
      <c r="H1405" s="3" t="s">
        <v>6694</v>
      </c>
      <c r="I1405" s="4"/>
      <c r="J1405" s="4"/>
      <c r="K1405" s="4"/>
      <c r="L1405" s="4"/>
    </row>
    <row r="1406" spans="1:12" x14ac:dyDescent="0.25">
      <c r="A1406" s="2" t="str">
        <f>HYPERLINK("https://www.list-org.com/company/14806817","https://www.list-org.com/company/14806817")</f>
        <v>https://www.list-org.com/company/14806817</v>
      </c>
      <c r="B1406" s="3" t="s">
        <v>6695</v>
      </c>
      <c r="C1406" s="3" t="s">
        <v>6696</v>
      </c>
      <c r="D1406" s="3" t="s">
        <v>14</v>
      </c>
      <c r="E1406" s="3" t="s">
        <v>6697</v>
      </c>
      <c r="F1406" s="3" t="s">
        <v>6698</v>
      </c>
      <c r="G1406" s="3"/>
      <c r="H1406" s="3" t="s">
        <v>1677</v>
      </c>
      <c r="I1406" s="4"/>
      <c r="J1406" s="4"/>
      <c r="K1406" s="4"/>
      <c r="L1406" s="4"/>
    </row>
    <row r="1407" spans="1:12" x14ac:dyDescent="0.25">
      <c r="A1407" s="2" t="str">
        <f>HYPERLINK("https://www.list-org.com/company/14807614","https://www.list-org.com/company/14807614")</f>
        <v>https://www.list-org.com/company/14807614</v>
      </c>
      <c r="B1407" s="3" t="s">
        <v>6699</v>
      </c>
      <c r="C1407" s="3" t="s">
        <v>6700</v>
      </c>
      <c r="D1407" s="3" t="s">
        <v>14</v>
      </c>
      <c r="E1407" s="3" t="s">
        <v>6701</v>
      </c>
      <c r="F1407" s="3" t="s">
        <v>6702</v>
      </c>
      <c r="G1407" s="3"/>
      <c r="H1407" s="3" t="s">
        <v>6703</v>
      </c>
      <c r="I1407" s="4"/>
      <c r="J1407" s="4"/>
      <c r="K1407" s="4"/>
      <c r="L1407" s="4"/>
    </row>
    <row r="1408" spans="1:12" x14ac:dyDescent="0.25">
      <c r="A1408" s="2" t="str">
        <f>HYPERLINK("https://www.list-org.com/company/14809814","https://www.list-org.com/company/14809814")</f>
        <v>https://www.list-org.com/company/14809814</v>
      </c>
      <c r="B1408" s="3" t="s">
        <v>6704</v>
      </c>
      <c r="C1408" s="3" t="s">
        <v>6705</v>
      </c>
      <c r="D1408" s="3" t="s">
        <v>14</v>
      </c>
      <c r="E1408" s="3" t="s">
        <v>6706</v>
      </c>
      <c r="F1408" s="3" t="s">
        <v>6707</v>
      </c>
      <c r="G1408" s="3"/>
      <c r="H1408" s="3" t="s">
        <v>6708</v>
      </c>
      <c r="I1408" s="4"/>
      <c r="J1408" s="4"/>
      <c r="K1408" s="4"/>
      <c r="L1408" s="4"/>
    </row>
    <row r="1409" spans="1:12" x14ac:dyDescent="0.25">
      <c r="A1409" s="2" t="str">
        <f>HYPERLINK("https://www.list-org.com/company/14810905","https://www.list-org.com/company/14810905")</f>
        <v>https://www.list-org.com/company/14810905</v>
      </c>
      <c r="B1409" s="3" t="s">
        <v>6709</v>
      </c>
      <c r="C1409" s="3" t="s">
        <v>6710</v>
      </c>
      <c r="D1409" s="3" t="s">
        <v>14</v>
      </c>
      <c r="E1409" s="3" t="s">
        <v>6711</v>
      </c>
      <c r="F1409" s="3" t="s">
        <v>6712</v>
      </c>
      <c r="G1409" s="3"/>
      <c r="H1409" s="3" t="s">
        <v>6713</v>
      </c>
      <c r="I1409" s="4"/>
      <c r="J1409" s="4"/>
      <c r="K1409" s="4"/>
      <c r="L1409" s="4"/>
    </row>
    <row r="1410" spans="1:12" x14ac:dyDescent="0.25">
      <c r="A1410" s="2" t="str">
        <f>HYPERLINK("https://www.list-org.com/company/14811013","https://www.list-org.com/company/14811013")</f>
        <v>https://www.list-org.com/company/14811013</v>
      </c>
      <c r="B1410" s="3" t="s">
        <v>6714</v>
      </c>
      <c r="C1410" s="3" t="s">
        <v>6715</v>
      </c>
      <c r="D1410" s="3" t="s">
        <v>14</v>
      </c>
      <c r="E1410" s="3" t="s">
        <v>6716</v>
      </c>
      <c r="F1410" s="3" t="s">
        <v>6717</v>
      </c>
      <c r="G1410" s="3"/>
      <c r="H1410" s="3" t="s">
        <v>6718</v>
      </c>
      <c r="I1410" s="4"/>
      <c r="J1410" s="4"/>
      <c r="K1410" s="4"/>
      <c r="L1410" s="4"/>
    </row>
    <row r="1411" spans="1:12" x14ac:dyDescent="0.25">
      <c r="A1411" s="2" t="str">
        <f>HYPERLINK("https://www.list-org.com/company/14811652","https://www.list-org.com/company/14811652")</f>
        <v>https://www.list-org.com/company/14811652</v>
      </c>
      <c r="B1411" s="3" t="s">
        <v>6719</v>
      </c>
      <c r="C1411" s="3" t="s">
        <v>6720</v>
      </c>
      <c r="D1411" s="3" t="s">
        <v>14</v>
      </c>
      <c r="E1411" s="3" t="s">
        <v>6721</v>
      </c>
      <c r="F1411" s="3" t="s">
        <v>6722</v>
      </c>
      <c r="G1411" s="3"/>
      <c r="H1411" s="3" t="s">
        <v>6723</v>
      </c>
      <c r="I1411" s="4"/>
      <c r="J1411" s="4"/>
      <c r="K1411" s="4"/>
      <c r="L1411" s="4"/>
    </row>
    <row r="1412" spans="1:12" x14ac:dyDescent="0.25">
      <c r="A1412" s="2" t="str">
        <f>HYPERLINK("https://www.list-org.com/company/14812706","https://www.list-org.com/company/14812706")</f>
        <v>https://www.list-org.com/company/14812706</v>
      </c>
      <c r="B1412" s="3" t="s">
        <v>6724</v>
      </c>
      <c r="C1412" s="3" t="s">
        <v>6725</v>
      </c>
      <c r="D1412" s="3" t="s">
        <v>14</v>
      </c>
      <c r="E1412" s="3" t="s">
        <v>6726</v>
      </c>
      <c r="F1412" s="3" t="s">
        <v>6727</v>
      </c>
      <c r="G1412" s="3"/>
      <c r="H1412" s="3" t="s">
        <v>6728</v>
      </c>
      <c r="I1412" s="4"/>
      <c r="J1412" s="4"/>
      <c r="K1412" s="4"/>
      <c r="L1412" s="4"/>
    </row>
    <row r="1413" spans="1:12" x14ac:dyDescent="0.25">
      <c r="A1413" s="2" t="str">
        <f>HYPERLINK("https://www.list-org.com/company/14812805","https://www.list-org.com/company/14812805")</f>
        <v>https://www.list-org.com/company/14812805</v>
      </c>
      <c r="B1413" s="3" t="s">
        <v>6729</v>
      </c>
      <c r="C1413" s="3" t="s">
        <v>6730</v>
      </c>
      <c r="D1413" s="3" t="s">
        <v>14</v>
      </c>
      <c r="E1413" s="3" t="s">
        <v>6731</v>
      </c>
      <c r="F1413" s="3" t="s">
        <v>6732</v>
      </c>
      <c r="G1413" s="3"/>
      <c r="H1413" s="3" t="s">
        <v>6733</v>
      </c>
      <c r="I1413" s="4"/>
      <c r="J1413" s="4"/>
      <c r="K1413" s="4"/>
      <c r="L1413" s="4"/>
    </row>
    <row r="1414" spans="1:12" x14ac:dyDescent="0.25">
      <c r="A1414" s="2" t="str">
        <f>HYPERLINK("https://www.list-org.com/company/14812994","https://www.list-org.com/company/14812994")</f>
        <v>https://www.list-org.com/company/14812994</v>
      </c>
      <c r="B1414" s="3" t="s">
        <v>6734</v>
      </c>
      <c r="C1414" s="3" t="s">
        <v>6735</v>
      </c>
      <c r="D1414" s="3" t="s">
        <v>14</v>
      </c>
      <c r="E1414" s="3" t="s">
        <v>6736</v>
      </c>
      <c r="F1414" s="3" t="s">
        <v>6737</v>
      </c>
      <c r="G1414" s="3"/>
      <c r="H1414" s="3" t="s">
        <v>6738</v>
      </c>
      <c r="I1414" s="4"/>
      <c r="J1414" s="4"/>
      <c r="K1414" s="4"/>
      <c r="L1414" s="4"/>
    </row>
    <row r="1415" spans="1:12" x14ac:dyDescent="0.25">
      <c r="A1415" s="2" t="str">
        <f>HYPERLINK("https://www.list-org.com/company/14813414","https://www.list-org.com/company/14813414")</f>
        <v>https://www.list-org.com/company/14813414</v>
      </c>
      <c r="B1415" s="3" t="s">
        <v>6739</v>
      </c>
      <c r="C1415" s="3" t="s">
        <v>6740</v>
      </c>
      <c r="D1415" s="3" t="s">
        <v>14</v>
      </c>
      <c r="E1415" s="3" t="s">
        <v>6741</v>
      </c>
      <c r="F1415" s="3" t="s">
        <v>6742</v>
      </c>
      <c r="G1415" s="3"/>
      <c r="H1415" s="3" t="s">
        <v>5949</v>
      </c>
      <c r="I1415" s="4"/>
      <c r="J1415" s="4"/>
      <c r="K1415" s="4"/>
      <c r="L1415" s="4"/>
    </row>
    <row r="1416" spans="1:12" x14ac:dyDescent="0.25">
      <c r="A1416" s="2" t="str">
        <f>HYPERLINK("https://www.list-org.com/company/14813501","https://www.list-org.com/company/14813501")</f>
        <v>https://www.list-org.com/company/14813501</v>
      </c>
      <c r="B1416" s="3" t="s">
        <v>6743</v>
      </c>
      <c r="C1416" s="3" t="s">
        <v>6744</v>
      </c>
      <c r="D1416" s="3" t="s">
        <v>14</v>
      </c>
      <c r="E1416" s="3" t="s">
        <v>6745</v>
      </c>
      <c r="F1416" s="3" t="s">
        <v>6746</v>
      </c>
      <c r="G1416" s="3"/>
      <c r="H1416" s="3" t="s">
        <v>6747</v>
      </c>
      <c r="I1416" s="4"/>
      <c r="J1416" s="4"/>
      <c r="K1416" s="4"/>
      <c r="L1416" s="4"/>
    </row>
    <row r="1417" spans="1:12" x14ac:dyDescent="0.25">
      <c r="A1417" s="2" t="str">
        <f>HYPERLINK("https://www.list-org.com/company/14813825","https://www.list-org.com/company/14813825")</f>
        <v>https://www.list-org.com/company/14813825</v>
      </c>
      <c r="B1417" s="3" t="s">
        <v>6748</v>
      </c>
      <c r="C1417" s="3" t="s">
        <v>6749</v>
      </c>
      <c r="D1417" s="3" t="s">
        <v>14</v>
      </c>
      <c r="E1417" s="3" t="s">
        <v>6750</v>
      </c>
      <c r="F1417" s="3" t="s">
        <v>6751</v>
      </c>
      <c r="G1417" s="3"/>
      <c r="H1417" s="3" t="s">
        <v>6752</v>
      </c>
      <c r="I1417" s="4"/>
      <c r="J1417" s="4"/>
      <c r="K1417" s="4"/>
      <c r="L1417" s="4"/>
    </row>
    <row r="1418" spans="1:12" x14ac:dyDescent="0.25">
      <c r="A1418" s="2" t="str">
        <f>HYPERLINK("https://www.list-org.com/company/14813871","https://www.list-org.com/company/14813871")</f>
        <v>https://www.list-org.com/company/14813871</v>
      </c>
      <c r="B1418" s="3" t="s">
        <v>6753</v>
      </c>
      <c r="C1418" s="3" t="s">
        <v>6754</v>
      </c>
      <c r="D1418" s="3" t="s">
        <v>14</v>
      </c>
      <c r="E1418" s="3" t="s">
        <v>6755</v>
      </c>
      <c r="F1418" s="3" t="s">
        <v>6756</v>
      </c>
      <c r="G1418" s="3"/>
      <c r="H1418" s="3" t="s">
        <v>6757</v>
      </c>
      <c r="I1418" s="4"/>
      <c r="J1418" s="4"/>
      <c r="K1418" s="4"/>
      <c r="L1418" s="4"/>
    </row>
    <row r="1419" spans="1:12" x14ac:dyDescent="0.25">
      <c r="A1419" s="2" t="str">
        <f>HYPERLINK("https://www.list-org.com/company/14815732","https://www.list-org.com/company/14815732")</f>
        <v>https://www.list-org.com/company/14815732</v>
      </c>
      <c r="B1419" s="3" t="s">
        <v>6758</v>
      </c>
      <c r="C1419" s="3" t="s">
        <v>6759</v>
      </c>
      <c r="D1419" s="3" t="s">
        <v>14</v>
      </c>
      <c r="E1419" s="3" t="s">
        <v>6760</v>
      </c>
      <c r="F1419" s="3" t="s">
        <v>6761</v>
      </c>
      <c r="G1419" s="3"/>
      <c r="H1419" s="3" t="s">
        <v>4615</v>
      </c>
      <c r="I1419" s="4"/>
      <c r="J1419" s="4"/>
      <c r="K1419" s="4"/>
      <c r="L1419" s="4"/>
    </row>
    <row r="1420" spans="1:12" x14ac:dyDescent="0.25">
      <c r="A1420" s="2" t="str">
        <f>HYPERLINK("https://www.list-org.com/company/14815968","https://www.list-org.com/company/14815968")</f>
        <v>https://www.list-org.com/company/14815968</v>
      </c>
      <c r="B1420" s="3" t="s">
        <v>6762</v>
      </c>
      <c r="C1420" s="3" t="s">
        <v>6763</v>
      </c>
      <c r="D1420" s="3" t="s">
        <v>14</v>
      </c>
      <c r="E1420" s="3" t="s">
        <v>6764</v>
      </c>
      <c r="F1420" s="3" t="s">
        <v>6765</v>
      </c>
      <c r="G1420" s="3"/>
      <c r="H1420" s="3" t="s">
        <v>6766</v>
      </c>
      <c r="I1420" s="4"/>
      <c r="J1420" s="4"/>
      <c r="K1420" s="4"/>
      <c r="L1420" s="4"/>
    </row>
    <row r="1421" spans="1:12" x14ac:dyDescent="0.25">
      <c r="A1421" s="2" t="str">
        <f>HYPERLINK("https://www.list-org.com/company/14816385","https://www.list-org.com/company/14816385")</f>
        <v>https://www.list-org.com/company/14816385</v>
      </c>
      <c r="B1421" s="3" t="s">
        <v>6767</v>
      </c>
      <c r="C1421" s="3" t="s">
        <v>6768</v>
      </c>
      <c r="D1421" s="3" t="s">
        <v>14</v>
      </c>
      <c r="E1421" s="3" t="s">
        <v>6769</v>
      </c>
      <c r="F1421" s="3" t="s">
        <v>6770</v>
      </c>
      <c r="G1421" s="3"/>
      <c r="H1421" s="3" t="s">
        <v>1824</v>
      </c>
      <c r="I1421" s="4"/>
      <c r="J1421" s="4"/>
      <c r="K1421" s="4"/>
      <c r="L1421" s="4"/>
    </row>
    <row r="1422" spans="1:12" x14ac:dyDescent="0.25">
      <c r="A1422" s="2" t="str">
        <f>HYPERLINK("https://www.list-org.com/company/14816836","https://www.list-org.com/company/14816836")</f>
        <v>https://www.list-org.com/company/14816836</v>
      </c>
      <c r="B1422" s="3" t="s">
        <v>6771</v>
      </c>
      <c r="C1422" s="3" t="s">
        <v>6772</v>
      </c>
      <c r="D1422" s="3" t="s">
        <v>14</v>
      </c>
      <c r="E1422" s="3" t="s">
        <v>6773</v>
      </c>
      <c r="F1422" s="3" t="s">
        <v>6774</v>
      </c>
      <c r="G1422" s="3"/>
      <c r="H1422" s="3" t="s">
        <v>6775</v>
      </c>
      <c r="I1422" s="4"/>
      <c r="J1422" s="4"/>
      <c r="K1422" s="4"/>
      <c r="L1422" s="4"/>
    </row>
    <row r="1423" spans="1:12" x14ac:dyDescent="0.25">
      <c r="A1423" s="2" t="str">
        <f>HYPERLINK("https://www.list-org.com/company/14816909","https://www.list-org.com/company/14816909")</f>
        <v>https://www.list-org.com/company/14816909</v>
      </c>
      <c r="B1423" s="3" t="s">
        <v>6776</v>
      </c>
      <c r="C1423" s="3" t="s">
        <v>6777</v>
      </c>
      <c r="D1423" s="3" t="s">
        <v>14</v>
      </c>
      <c r="E1423" s="3" t="s">
        <v>6778</v>
      </c>
      <c r="F1423" s="3" t="s">
        <v>6779</v>
      </c>
      <c r="G1423" s="3"/>
      <c r="H1423" s="3" t="s">
        <v>6780</v>
      </c>
      <c r="I1423" s="4"/>
      <c r="J1423" s="4"/>
      <c r="K1423" s="4"/>
      <c r="L1423" s="4"/>
    </row>
    <row r="1424" spans="1:12" x14ac:dyDescent="0.25">
      <c r="A1424" s="2" t="str">
        <f>HYPERLINK("https://www.list-org.com/company/14817715","https://www.list-org.com/company/14817715")</f>
        <v>https://www.list-org.com/company/14817715</v>
      </c>
      <c r="B1424" s="3" t="s">
        <v>6781</v>
      </c>
      <c r="C1424" s="3" t="s">
        <v>6782</v>
      </c>
      <c r="D1424" s="3" t="s">
        <v>14</v>
      </c>
      <c r="E1424" s="3" t="s">
        <v>6783</v>
      </c>
      <c r="F1424" s="3" t="s">
        <v>6784</v>
      </c>
      <c r="G1424" s="3"/>
      <c r="H1424" s="3" t="s">
        <v>6785</v>
      </c>
      <c r="I1424" s="4"/>
      <c r="J1424" s="4"/>
      <c r="K1424" s="4"/>
      <c r="L1424" s="4"/>
    </row>
    <row r="1425" spans="1:12" x14ac:dyDescent="0.25">
      <c r="A1425" s="2" t="str">
        <f>HYPERLINK("https://www.list-org.com/company/14817791","https://www.list-org.com/company/14817791")</f>
        <v>https://www.list-org.com/company/14817791</v>
      </c>
      <c r="B1425" s="3" t="s">
        <v>6786</v>
      </c>
      <c r="C1425" s="3" t="s">
        <v>6787</v>
      </c>
      <c r="D1425" s="3" t="s">
        <v>14</v>
      </c>
      <c r="E1425" s="3" t="s">
        <v>6788</v>
      </c>
      <c r="F1425" s="3" t="s">
        <v>6789</v>
      </c>
      <c r="G1425" s="3"/>
      <c r="H1425" s="3" t="s">
        <v>637</v>
      </c>
      <c r="I1425" s="4"/>
      <c r="J1425" s="4"/>
      <c r="K1425" s="4"/>
      <c r="L1425" s="4"/>
    </row>
    <row r="1426" spans="1:12" x14ac:dyDescent="0.25">
      <c r="A1426" s="2" t="str">
        <f>HYPERLINK("https://www.list-org.com/company/14817885","https://www.list-org.com/company/14817885")</f>
        <v>https://www.list-org.com/company/14817885</v>
      </c>
      <c r="B1426" s="3" t="s">
        <v>6790</v>
      </c>
      <c r="C1426" s="3" t="s">
        <v>6791</v>
      </c>
      <c r="D1426" s="3" t="s">
        <v>14</v>
      </c>
      <c r="E1426" s="3" t="s">
        <v>6792</v>
      </c>
      <c r="F1426" s="3" t="s">
        <v>6793</v>
      </c>
      <c r="G1426" s="3"/>
      <c r="H1426" s="3" t="s">
        <v>6794</v>
      </c>
      <c r="I1426" s="4"/>
      <c r="J1426" s="4"/>
      <c r="K1426" s="4"/>
      <c r="L1426" s="4"/>
    </row>
    <row r="1427" spans="1:12" x14ac:dyDescent="0.25">
      <c r="A1427" s="2" t="str">
        <f>HYPERLINK("https://www.list-org.com/company/13770386","https://www.list-org.com/company/13770386")</f>
        <v>https://www.list-org.com/company/13770386</v>
      </c>
      <c r="B1427" s="3" t="s">
        <v>6795</v>
      </c>
      <c r="C1427" s="3" t="s">
        <v>6796</v>
      </c>
      <c r="D1427" s="3" t="s">
        <v>14</v>
      </c>
      <c r="E1427" s="3" t="s">
        <v>6797</v>
      </c>
      <c r="F1427" s="3" t="s">
        <v>6798</v>
      </c>
      <c r="G1427" s="3"/>
      <c r="H1427" s="3" t="s">
        <v>788</v>
      </c>
      <c r="I1427" s="4"/>
      <c r="J1427" s="4"/>
      <c r="K1427" s="4"/>
      <c r="L1427" s="4"/>
    </row>
    <row r="1428" spans="1:12" x14ac:dyDescent="0.25">
      <c r="A1428" s="2" t="str">
        <f>HYPERLINK("https://www.list-org.com/company/13775502","https://www.list-org.com/company/13775502")</f>
        <v>https://www.list-org.com/company/13775502</v>
      </c>
      <c r="B1428" s="3" t="s">
        <v>6799</v>
      </c>
      <c r="C1428" s="3" t="s">
        <v>6800</v>
      </c>
      <c r="D1428" s="3" t="s">
        <v>14</v>
      </c>
      <c r="E1428" s="3" t="s">
        <v>6801</v>
      </c>
      <c r="F1428" s="3" t="s">
        <v>6802</v>
      </c>
      <c r="G1428" s="3"/>
      <c r="H1428" s="3" t="s">
        <v>6803</v>
      </c>
      <c r="I1428" s="4"/>
      <c r="J1428" s="4"/>
      <c r="K1428" s="4"/>
      <c r="L1428" s="4"/>
    </row>
    <row r="1429" spans="1:12" x14ac:dyDescent="0.25">
      <c r="A1429" s="2" t="str">
        <f>HYPERLINK("https://www.list-org.com/company/14062402","https://www.list-org.com/company/14062402")</f>
        <v>https://www.list-org.com/company/14062402</v>
      </c>
      <c r="B1429" s="3" t="s">
        <v>6804</v>
      </c>
      <c r="C1429" s="3" t="s">
        <v>6805</v>
      </c>
      <c r="D1429" s="3" t="s">
        <v>14</v>
      </c>
      <c r="E1429" s="3" t="s">
        <v>6806</v>
      </c>
      <c r="F1429" s="3" t="s">
        <v>6807</v>
      </c>
      <c r="G1429" s="3"/>
      <c r="H1429" s="3" t="s">
        <v>6808</v>
      </c>
      <c r="I1429" s="4"/>
      <c r="J1429" s="4"/>
      <c r="K1429" s="4"/>
      <c r="L1429" s="4"/>
    </row>
    <row r="1430" spans="1:12" x14ac:dyDescent="0.25">
      <c r="A1430" s="2" t="str">
        <f>HYPERLINK("https://www.list-org.com/company/14062411","https://www.list-org.com/company/14062411")</f>
        <v>https://www.list-org.com/company/14062411</v>
      </c>
      <c r="B1430" s="3" t="s">
        <v>6809</v>
      </c>
      <c r="C1430" s="3" t="s">
        <v>6810</v>
      </c>
      <c r="D1430" s="3" t="s">
        <v>14</v>
      </c>
      <c r="E1430" s="3" t="s">
        <v>6811</v>
      </c>
      <c r="F1430" s="3" t="s">
        <v>6812</v>
      </c>
      <c r="G1430" s="3"/>
      <c r="H1430" s="3" t="s">
        <v>6813</v>
      </c>
      <c r="I1430" s="4"/>
      <c r="J1430" s="4"/>
      <c r="K1430" s="4"/>
      <c r="L1430" s="4"/>
    </row>
    <row r="1431" spans="1:12" x14ac:dyDescent="0.25">
      <c r="A1431" s="2" t="str">
        <f>HYPERLINK("https://www.list-org.com/company/14062436","https://www.list-org.com/company/14062436")</f>
        <v>https://www.list-org.com/company/14062436</v>
      </c>
      <c r="B1431" s="3" t="s">
        <v>6814</v>
      </c>
      <c r="C1431" s="3" t="s">
        <v>6815</v>
      </c>
      <c r="D1431" s="3" t="s">
        <v>14</v>
      </c>
      <c r="E1431" s="3" t="s">
        <v>6816</v>
      </c>
      <c r="F1431" s="3" t="s">
        <v>6817</v>
      </c>
      <c r="G1431" s="3"/>
      <c r="H1431" s="3" t="s">
        <v>6818</v>
      </c>
      <c r="I1431" s="4"/>
      <c r="J1431" s="4"/>
      <c r="K1431" s="4"/>
      <c r="L1431" s="4"/>
    </row>
    <row r="1432" spans="1:12" x14ac:dyDescent="0.25">
      <c r="A1432" s="2" t="str">
        <f>HYPERLINK("https://www.list-org.com/company/14142268","https://www.list-org.com/company/14142268")</f>
        <v>https://www.list-org.com/company/14142268</v>
      </c>
      <c r="B1432" s="3" t="s">
        <v>6819</v>
      </c>
      <c r="C1432" s="3" t="s">
        <v>6820</v>
      </c>
      <c r="D1432" s="3" t="s">
        <v>14</v>
      </c>
      <c r="E1432" s="3" t="s">
        <v>6821</v>
      </c>
      <c r="F1432" s="3" t="s">
        <v>6822</v>
      </c>
      <c r="G1432" s="3"/>
      <c r="H1432" s="3" t="s">
        <v>6823</v>
      </c>
      <c r="I1432" s="4"/>
      <c r="J1432" s="4"/>
      <c r="K1432" s="4"/>
      <c r="L1432" s="4"/>
    </row>
    <row r="1433" spans="1:12" x14ac:dyDescent="0.25">
      <c r="A1433" s="2" t="str">
        <f>HYPERLINK("https://www.list-org.com/company/14145684","https://www.list-org.com/company/14145684")</f>
        <v>https://www.list-org.com/company/14145684</v>
      </c>
      <c r="B1433" s="3" t="s">
        <v>6824</v>
      </c>
      <c r="C1433" s="3" t="s">
        <v>6825</v>
      </c>
      <c r="D1433" s="3" t="s">
        <v>14</v>
      </c>
      <c r="E1433" s="3" t="s">
        <v>6826</v>
      </c>
      <c r="F1433" s="3" t="s">
        <v>6827</v>
      </c>
      <c r="G1433" s="3"/>
      <c r="H1433" s="3" t="s">
        <v>6828</v>
      </c>
      <c r="I1433" s="4"/>
      <c r="J1433" s="4"/>
      <c r="K1433" s="4"/>
      <c r="L1433" s="4"/>
    </row>
    <row r="1434" spans="1:12" x14ac:dyDescent="0.25">
      <c r="A1434" s="2" t="str">
        <f>HYPERLINK("https://www.list-org.com/company/14385775","https://www.list-org.com/company/14385775")</f>
        <v>https://www.list-org.com/company/14385775</v>
      </c>
      <c r="B1434" s="3" t="s">
        <v>6829</v>
      </c>
      <c r="C1434" s="3" t="s">
        <v>6830</v>
      </c>
      <c r="D1434" s="3" t="s">
        <v>14</v>
      </c>
      <c r="E1434" s="3" t="s">
        <v>6831</v>
      </c>
      <c r="F1434" s="3" t="s">
        <v>6832</v>
      </c>
      <c r="G1434" s="3"/>
      <c r="H1434" s="3" t="s">
        <v>6833</v>
      </c>
      <c r="I1434" s="4"/>
      <c r="J1434" s="4"/>
      <c r="K1434" s="4"/>
      <c r="L1434" s="4"/>
    </row>
    <row r="1435" spans="1:12" x14ac:dyDescent="0.25">
      <c r="A1435" s="2" t="str">
        <f>HYPERLINK("https://www.list-org.com/company/14598205","https://www.list-org.com/company/14598205")</f>
        <v>https://www.list-org.com/company/14598205</v>
      </c>
      <c r="B1435" s="3" t="s">
        <v>6834</v>
      </c>
      <c r="C1435" s="3" t="s">
        <v>6835</v>
      </c>
      <c r="D1435" s="3" t="s">
        <v>14</v>
      </c>
      <c r="E1435" s="3" t="s">
        <v>6836</v>
      </c>
      <c r="F1435" s="3" t="s">
        <v>6837</v>
      </c>
      <c r="G1435" s="3"/>
      <c r="H1435" s="3" t="s">
        <v>6838</v>
      </c>
      <c r="I1435" s="4"/>
      <c r="J1435" s="4"/>
      <c r="K1435" s="4"/>
      <c r="L1435" s="4"/>
    </row>
    <row r="1436" spans="1:12" x14ac:dyDescent="0.25">
      <c r="A1436" s="2" t="str">
        <f>HYPERLINK("https://www.list-org.com/company/14599795","https://www.list-org.com/company/14599795")</f>
        <v>https://www.list-org.com/company/14599795</v>
      </c>
      <c r="B1436" s="3" t="s">
        <v>6839</v>
      </c>
      <c r="C1436" s="3" t="s">
        <v>6840</v>
      </c>
      <c r="D1436" s="3" t="s">
        <v>14</v>
      </c>
      <c r="E1436" s="3" t="s">
        <v>6841</v>
      </c>
      <c r="F1436" s="3" t="s">
        <v>6842</v>
      </c>
      <c r="G1436" s="3"/>
      <c r="H1436" s="3" t="s">
        <v>6843</v>
      </c>
      <c r="I1436" s="4"/>
      <c r="J1436" s="4"/>
      <c r="K1436" s="4"/>
      <c r="L1436" s="4"/>
    </row>
    <row r="1437" spans="1:12" x14ac:dyDescent="0.25">
      <c r="A1437" s="2" t="str">
        <f>HYPERLINK("https://www.list-org.com/company/14600009","https://www.list-org.com/company/14600009")</f>
        <v>https://www.list-org.com/company/14600009</v>
      </c>
      <c r="B1437" s="3" t="s">
        <v>6844</v>
      </c>
      <c r="C1437" s="3" t="s">
        <v>6845</v>
      </c>
      <c r="D1437" s="3" t="s">
        <v>14</v>
      </c>
      <c r="E1437" s="3" t="s">
        <v>6846</v>
      </c>
      <c r="F1437" s="3" t="s">
        <v>6847</v>
      </c>
      <c r="G1437" s="3"/>
      <c r="H1437" s="3" t="s">
        <v>6848</v>
      </c>
      <c r="I1437" s="4"/>
      <c r="J1437" s="4"/>
      <c r="K1437" s="4"/>
      <c r="L1437" s="4">
        <v>20</v>
      </c>
    </row>
    <row r="1438" spans="1:12" x14ac:dyDescent="0.25">
      <c r="A1438" s="2" t="str">
        <f>HYPERLINK("https://www.list-org.com/company/14600388","https://www.list-org.com/company/14600388")</f>
        <v>https://www.list-org.com/company/14600388</v>
      </c>
      <c r="B1438" s="3" t="s">
        <v>6849</v>
      </c>
      <c r="C1438" s="3" t="s">
        <v>6850</v>
      </c>
      <c r="D1438" s="3" t="s">
        <v>14</v>
      </c>
      <c r="E1438" s="3" t="s">
        <v>6851</v>
      </c>
      <c r="F1438" s="3" t="s">
        <v>6852</v>
      </c>
      <c r="G1438" s="3"/>
      <c r="H1438" s="3" t="s">
        <v>6853</v>
      </c>
      <c r="I1438" s="4"/>
      <c r="J1438" s="4"/>
      <c r="K1438" s="4"/>
      <c r="L1438" s="4"/>
    </row>
    <row r="1439" spans="1:12" x14ac:dyDescent="0.25">
      <c r="A1439" s="2" t="str">
        <f>HYPERLINK("https://www.list-org.com/company/14600496","https://www.list-org.com/company/14600496")</f>
        <v>https://www.list-org.com/company/14600496</v>
      </c>
      <c r="B1439" s="3" t="s">
        <v>6854</v>
      </c>
      <c r="C1439" s="3" t="s">
        <v>6855</v>
      </c>
      <c r="D1439" s="3" t="s">
        <v>14</v>
      </c>
      <c r="E1439" s="3" t="s">
        <v>6856</v>
      </c>
      <c r="F1439" s="3" t="s">
        <v>6857</v>
      </c>
      <c r="G1439" s="3"/>
      <c r="H1439" s="3" t="s">
        <v>6858</v>
      </c>
      <c r="I1439" s="4"/>
      <c r="J1439" s="4"/>
      <c r="K1439" s="4"/>
      <c r="L1439" s="4"/>
    </row>
    <row r="1440" spans="1:12" x14ac:dyDescent="0.25">
      <c r="A1440" s="2" t="str">
        <f>HYPERLINK("https://www.list-org.com/company/14601908","https://www.list-org.com/company/14601908")</f>
        <v>https://www.list-org.com/company/14601908</v>
      </c>
      <c r="B1440" s="3" t="s">
        <v>6859</v>
      </c>
      <c r="C1440" s="3" t="s">
        <v>6860</v>
      </c>
      <c r="D1440" s="3" t="s">
        <v>14</v>
      </c>
      <c r="E1440" s="3" t="s">
        <v>6861</v>
      </c>
      <c r="F1440" s="3" t="s">
        <v>6862</v>
      </c>
      <c r="G1440" s="3"/>
      <c r="H1440" s="3" t="s">
        <v>6863</v>
      </c>
      <c r="I1440" s="4"/>
      <c r="J1440" s="4"/>
      <c r="K1440" s="4"/>
      <c r="L1440" s="4"/>
    </row>
    <row r="1441" spans="1:12" x14ac:dyDescent="0.25">
      <c r="A1441" s="2" t="str">
        <f>HYPERLINK("https://www.list-org.com/company/14603223","https://www.list-org.com/company/14603223")</f>
        <v>https://www.list-org.com/company/14603223</v>
      </c>
      <c r="B1441" s="3" t="s">
        <v>6864</v>
      </c>
      <c r="C1441" s="3" t="s">
        <v>6865</v>
      </c>
      <c r="D1441" s="3" t="s">
        <v>14</v>
      </c>
      <c r="E1441" s="3" t="s">
        <v>6866</v>
      </c>
      <c r="F1441" s="3" t="s">
        <v>6867</v>
      </c>
      <c r="G1441" s="3"/>
      <c r="H1441" s="3" t="s">
        <v>6868</v>
      </c>
      <c r="I1441" s="4"/>
      <c r="J1441" s="4"/>
      <c r="K1441" s="4"/>
      <c r="L1441" s="4"/>
    </row>
    <row r="1442" spans="1:12" x14ac:dyDescent="0.25">
      <c r="A1442" s="2" t="str">
        <f>HYPERLINK("https://www.list-org.com/company/14605784","https://www.list-org.com/company/14605784")</f>
        <v>https://www.list-org.com/company/14605784</v>
      </c>
      <c r="B1442" s="3" t="s">
        <v>6869</v>
      </c>
      <c r="C1442" s="3" t="s">
        <v>6870</v>
      </c>
      <c r="D1442" s="3" t="s">
        <v>14</v>
      </c>
      <c r="E1442" s="3" t="s">
        <v>6871</v>
      </c>
      <c r="F1442" s="3" t="s">
        <v>6872</v>
      </c>
      <c r="G1442" s="3"/>
      <c r="H1442" s="3" t="s">
        <v>6873</v>
      </c>
      <c r="I1442" s="4"/>
      <c r="J1442" s="4"/>
      <c r="K1442" s="4"/>
      <c r="L1442" s="4"/>
    </row>
    <row r="1443" spans="1:12" x14ac:dyDescent="0.25">
      <c r="A1443" s="2" t="str">
        <f>HYPERLINK("https://www.list-org.com/company/14606552","https://www.list-org.com/company/14606552")</f>
        <v>https://www.list-org.com/company/14606552</v>
      </c>
      <c r="B1443" s="3" t="s">
        <v>6874</v>
      </c>
      <c r="C1443" s="3" t="s">
        <v>6875</v>
      </c>
      <c r="D1443" s="3" t="s">
        <v>14</v>
      </c>
      <c r="E1443" s="3" t="s">
        <v>6876</v>
      </c>
      <c r="F1443" s="3" t="s">
        <v>6877</v>
      </c>
      <c r="G1443" s="3"/>
      <c r="H1443" s="3" t="s">
        <v>6878</v>
      </c>
      <c r="I1443" s="4"/>
      <c r="J1443" s="4"/>
      <c r="K1443" s="4"/>
      <c r="L1443" s="4"/>
    </row>
    <row r="1444" spans="1:12" x14ac:dyDescent="0.25">
      <c r="A1444" s="2" t="str">
        <f>HYPERLINK("https://www.list-org.com/company/14606578","https://www.list-org.com/company/14606578")</f>
        <v>https://www.list-org.com/company/14606578</v>
      </c>
      <c r="B1444" s="3" t="s">
        <v>6879</v>
      </c>
      <c r="C1444" s="3" t="s">
        <v>6880</v>
      </c>
      <c r="D1444" s="3" t="s">
        <v>14</v>
      </c>
      <c r="E1444" s="3" t="s">
        <v>6881</v>
      </c>
      <c r="F1444" s="3" t="s">
        <v>6882</v>
      </c>
      <c r="G1444" s="3"/>
      <c r="H1444" s="3" t="s">
        <v>6883</v>
      </c>
      <c r="I1444" s="4"/>
      <c r="J1444" s="4"/>
      <c r="K1444" s="4"/>
      <c r="L1444" s="4"/>
    </row>
    <row r="1445" spans="1:12" x14ac:dyDescent="0.25">
      <c r="A1445" s="2" t="str">
        <f>HYPERLINK("https://www.list-org.com/company/14607858","https://www.list-org.com/company/14607858")</f>
        <v>https://www.list-org.com/company/14607858</v>
      </c>
      <c r="B1445" s="3" t="s">
        <v>6884</v>
      </c>
      <c r="C1445" s="3" t="s">
        <v>6885</v>
      </c>
      <c r="D1445" s="3" t="s">
        <v>14</v>
      </c>
      <c r="E1445" s="3" t="s">
        <v>6886</v>
      </c>
      <c r="F1445" s="3" t="s">
        <v>6887</v>
      </c>
      <c r="G1445" s="3"/>
      <c r="H1445" s="3" t="s">
        <v>6888</v>
      </c>
      <c r="I1445" s="4"/>
      <c r="J1445" s="4"/>
      <c r="K1445" s="4"/>
      <c r="L1445" s="4"/>
    </row>
    <row r="1446" spans="1:12" x14ac:dyDescent="0.25">
      <c r="A1446" s="2" t="str">
        <f>HYPERLINK("https://www.list-org.com/company/14608166","https://www.list-org.com/company/14608166")</f>
        <v>https://www.list-org.com/company/14608166</v>
      </c>
      <c r="B1446" s="3" t="s">
        <v>6889</v>
      </c>
      <c r="C1446" s="3" t="s">
        <v>6890</v>
      </c>
      <c r="D1446" s="3" t="s">
        <v>14</v>
      </c>
      <c r="E1446" s="3" t="s">
        <v>6891</v>
      </c>
      <c r="F1446" s="3" t="s">
        <v>6892</v>
      </c>
      <c r="G1446" s="3"/>
      <c r="H1446" s="3" t="s">
        <v>6893</v>
      </c>
      <c r="I1446" s="4"/>
      <c r="J1446" s="4"/>
      <c r="K1446" s="4"/>
      <c r="L1446" s="4"/>
    </row>
    <row r="1447" spans="1:12" x14ac:dyDescent="0.25">
      <c r="A1447" s="2" t="str">
        <f>HYPERLINK("https://www.list-org.com/company/14610585","https://www.list-org.com/company/14610585")</f>
        <v>https://www.list-org.com/company/14610585</v>
      </c>
      <c r="B1447" s="3" t="s">
        <v>6894</v>
      </c>
      <c r="C1447" s="3" t="s">
        <v>6895</v>
      </c>
      <c r="D1447" s="3" t="s">
        <v>14</v>
      </c>
      <c r="E1447" s="3" t="s">
        <v>6896</v>
      </c>
      <c r="F1447" s="3" t="s">
        <v>6897</v>
      </c>
      <c r="G1447" s="3"/>
      <c r="H1447" s="3" t="s">
        <v>6898</v>
      </c>
      <c r="I1447" s="4"/>
      <c r="J1447" s="4"/>
      <c r="K1447" s="4"/>
      <c r="L1447" s="4"/>
    </row>
    <row r="1448" spans="1:12" x14ac:dyDescent="0.25">
      <c r="A1448" s="2" t="str">
        <f>HYPERLINK("https://www.list-org.com/company/14610682","https://www.list-org.com/company/14610682")</f>
        <v>https://www.list-org.com/company/14610682</v>
      </c>
      <c r="B1448" s="3" t="s">
        <v>6899</v>
      </c>
      <c r="C1448" s="3" t="s">
        <v>6900</v>
      </c>
      <c r="D1448" s="3" t="s">
        <v>14</v>
      </c>
      <c r="E1448" s="3" t="s">
        <v>6901</v>
      </c>
      <c r="F1448" s="3" t="s">
        <v>6902</v>
      </c>
      <c r="G1448" s="3"/>
      <c r="H1448" s="3" t="s">
        <v>6903</v>
      </c>
      <c r="I1448" s="4"/>
      <c r="J1448" s="4"/>
      <c r="K1448" s="4"/>
      <c r="L1448" s="4"/>
    </row>
    <row r="1449" spans="1:12" x14ac:dyDescent="0.25">
      <c r="A1449" s="2" t="str">
        <f>HYPERLINK("https://www.list-org.com/company/14792806","https://www.list-org.com/company/14792806")</f>
        <v>https://www.list-org.com/company/14792806</v>
      </c>
      <c r="B1449" s="3" t="s">
        <v>6904</v>
      </c>
      <c r="C1449" s="3" t="s">
        <v>6905</v>
      </c>
      <c r="D1449" s="3" t="s">
        <v>14</v>
      </c>
      <c r="E1449" s="3" t="s">
        <v>6906</v>
      </c>
      <c r="F1449" s="3" t="s">
        <v>6907</v>
      </c>
      <c r="G1449" s="3"/>
      <c r="H1449" s="3" t="s">
        <v>6908</v>
      </c>
      <c r="I1449" s="4"/>
      <c r="J1449" s="4"/>
      <c r="K1449" s="4"/>
      <c r="L1449" s="4"/>
    </row>
  </sheetData>
  <pageMargins left="0.5" right="0.5" top="1" bottom="1" header="0.5" footer="0.5"/>
  <pageSetup orientation="portrait" useFirstPageNumber="1" horizontalDpi="300" verticalDpi="300"/>
  <headerFooter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Jade McGlynn</cp:lastModifiedBy>
  <cp:revision>10</cp:revision>
  <dcterms:created xsi:type="dcterms:W3CDTF">2025-08-06T08:51:37Z</dcterms:created>
  <dcterms:modified xsi:type="dcterms:W3CDTF">2026-04-04T14:08:47Z</dcterms:modified>
  <dc:language>ru-RU</dc:language>
</cp:coreProperties>
</file>